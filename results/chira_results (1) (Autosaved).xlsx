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3040" windowHeight="8604" activeTab="5"/>
  </bookViews>
  <sheets>
    <sheet name="cus400" sheetId="1" r:id="rId1"/>
    <sheet name="cus350" sheetId="2" r:id="rId2"/>
    <sheet name="cus300" sheetId="3" r:id="rId3"/>
    <sheet name="cus250" sheetId="4" r:id="rId4"/>
    <sheet name="cus200" sheetId="5" r:id="rId5"/>
    <sheet name="Vgg1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6" l="1"/>
  <c r="B15" i="5" l="1"/>
  <c r="C39" i="1"/>
  <c r="D39" i="1"/>
  <c r="E39" i="1"/>
  <c r="B39" i="1"/>
  <c r="D11" i="1"/>
  <c r="E11" i="1"/>
  <c r="C11" i="1"/>
  <c r="C37" i="2"/>
  <c r="D37" i="2"/>
  <c r="E37" i="2"/>
  <c r="B37" i="2"/>
  <c r="D13" i="2"/>
  <c r="E13" i="2"/>
  <c r="C13" i="2"/>
  <c r="C37" i="3"/>
  <c r="D37" i="3"/>
  <c r="E37" i="3"/>
  <c r="B37" i="3"/>
  <c r="D12" i="3"/>
  <c r="E12" i="3"/>
  <c r="C12" i="3"/>
  <c r="C39" i="4"/>
  <c r="D39" i="4"/>
  <c r="E39" i="4"/>
  <c r="B39" i="4"/>
  <c r="D14" i="4"/>
  <c r="E14" i="4"/>
  <c r="C14" i="4"/>
  <c r="G25" i="5"/>
  <c r="H25" i="5"/>
  <c r="I25" i="5"/>
  <c r="J25" i="5"/>
  <c r="C15" i="5"/>
  <c r="D15" i="5"/>
  <c r="D24" i="6"/>
  <c r="H12" i="6"/>
  <c r="G12" i="6"/>
  <c r="F12" i="6"/>
  <c r="E12" i="6"/>
  <c r="D12" i="6"/>
  <c r="C12" i="6"/>
  <c r="B12" i="6"/>
  <c r="I21" i="5"/>
  <c r="J21" i="5"/>
  <c r="D35" i="4"/>
  <c r="E35" i="4"/>
  <c r="D34" i="3"/>
  <c r="E34" i="3"/>
  <c r="D36" i="2"/>
  <c r="E36" i="2"/>
  <c r="D38" i="1"/>
  <c r="E38" i="1"/>
  <c r="C38" i="1"/>
  <c r="B38" i="1"/>
  <c r="C36" i="2"/>
  <c r="B36" i="2"/>
  <c r="C34" i="3"/>
  <c r="B34" i="3"/>
  <c r="C35" i="4" l="1"/>
  <c r="B35" i="4"/>
  <c r="H21" i="5"/>
  <c r="G21" i="5"/>
  <c r="B13" i="5" l="1"/>
  <c r="C13" i="5"/>
  <c r="D13" i="5"/>
  <c r="A13" i="5"/>
  <c r="C13" i="4"/>
  <c r="D13" i="4"/>
  <c r="E13" i="4"/>
  <c r="B13" i="4"/>
  <c r="C11" i="3"/>
  <c r="D11" i="3"/>
  <c r="E11" i="3"/>
  <c r="B11" i="3"/>
  <c r="C12" i="2"/>
  <c r="D12" i="2"/>
  <c r="E12" i="2"/>
  <c r="B12" i="2"/>
  <c r="E10" i="1"/>
  <c r="B10" i="1"/>
  <c r="D10" i="1"/>
  <c r="C10" i="1"/>
</calcChain>
</file>

<file path=xl/sharedStrings.xml><?xml version="1.0" encoding="utf-8"?>
<sst xmlns="http://schemas.openxmlformats.org/spreadsheetml/2006/main" count="87" uniqueCount="45">
  <si>
    <t>device1</t>
  </si>
  <si>
    <t>device2-seq</t>
  </si>
  <si>
    <t>device</t>
  </si>
  <si>
    <t>device-seq</t>
  </si>
  <si>
    <t>device-thread</t>
  </si>
  <si>
    <t>device2-thread</t>
  </si>
  <si>
    <t>device 1</t>
  </si>
  <si>
    <t>device 2 -(up to conolution 5 with dense)</t>
  </si>
  <si>
    <t>device 2 -(up to conolution 4 )</t>
  </si>
  <si>
    <t>device 2 -(up to conolution 3)</t>
  </si>
  <si>
    <t>device 2 -(up to conolution 2)</t>
  </si>
  <si>
    <t>device 2 -(up to conolution 1)</t>
  </si>
  <si>
    <t>device2 -vgg16 thread</t>
  </si>
  <si>
    <t>device-seq wifi</t>
  </si>
  <si>
    <t>device-seq-wifi</t>
  </si>
  <si>
    <t>wifi-device2-seq</t>
  </si>
  <si>
    <t>device 2 -(up to conolution 4 )-wifi</t>
  </si>
  <si>
    <t>Graph 1 - img size vs inference time</t>
  </si>
  <si>
    <t>Lines</t>
  </si>
  <si>
    <t>single device/device 2 seq/wifi device 2</t>
  </si>
  <si>
    <t>Custom ModelDevices</t>
  </si>
  <si>
    <t>Graph 2 device count vs inference time</t>
  </si>
  <si>
    <t>200px</t>
  </si>
  <si>
    <t>300px</t>
  </si>
  <si>
    <t>250px</t>
  </si>
  <si>
    <t>350px</t>
  </si>
  <si>
    <t>400px</t>
  </si>
  <si>
    <t>1 device</t>
  </si>
  <si>
    <t>2 device - Ethernet</t>
  </si>
  <si>
    <t>2 device - Wifi</t>
  </si>
  <si>
    <t>3device-ethernet</t>
  </si>
  <si>
    <t>3device-wifi</t>
  </si>
  <si>
    <t>4device-ethernet</t>
  </si>
  <si>
    <t>4device-wifi</t>
  </si>
  <si>
    <t>3-device-ethernet</t>
  </si>
  <si>
    <t>3-wifi</t>
  </si>
  <si>
    <t>Exceptions</t>
  </si>
  <si>
    <t>average</t>
  </si>
  <si>
    <t>4-ethernet</t>
  </si>
  <si>
    <t>4-wifi</t>
  </si>
  <si>
    <t>Average</t>
  </si>
  <si>
    <t>avg</t>
  </si>
  <si>
    <t>exceptions</t>
  </si>
  <si>
    <t>speedup</t>
  </si>
  <si>
    <t>device 3 - ethernet - (upto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</si>
</sst>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Inference Time vs Input Size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'cus200'!$B$22</c:f>
              <c:strCache>
                <c:ptCount val="1"/>
                <c:pt idx="0">
                  <c:v>1 device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'cus200'!$A$23:$A$27</c:f>
              <c:strCache>
                <c:ptCount val="5"/>
                <c:pt idx="0">
                  <c:v>200px</c:v>
                </c:pt>
                <c:pt idx="1">
                  <c:v>250px</c:v>
                </c:pt>
                <c:pt idx="2">
                  <c:v>300px</c:v>
                </c:pt>
                <c:pt idx="3">
                  <c:v>350px</c:v>
                </c:pt>
                <c:pt idx="4">
                  <c:v>400px</c:v>
                </c:pt>
              </c:strCache>
            </c:strRef>
          </c:cat>
          <c:val>
            <c:numRef>
              <c:f>'cus200'!$B$23:$B$27</c:f>
              <c:numCache>
                <c:formatCode>General</c:formatCode>
                <c:ptCount val="5"/>
                <c:pt idx="0">
                  <c:v>1.0790065228938999</c:v>
                </c:pt>
                <c:pt idx="1">
                  <c:v>1.3979406058788262</c:v>
                </c:pt>
                <c:pt idx="2">
                  <c:v>1.5859310925006815</c:v>
                </c:pt>
                <c:pt idx="3">
                  <c:v>2.248090773820874</c:v>
                </c:pt>
                <c:pt idx="4">
                  <c:v>2.7839969396591133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B-480E-8A37-FC65CC08AAD9}"/>
            </c:ext>
          </c:extLst>
        </c:ser>
        <c:ser>
          <c:idx val="1"/>
          <c:order val="1"/>
          <c:tx>
            <c:strRef>
              <c:f>'cus200'!$C$22</c:f>
              <c:strCache>
                <c:ptCount val="1"/>
                <c:pt idx="0">
                  <c:v>2 device - Ethernet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'cus200'!$A$23:$A$27</c:f>
              <c:strCache>
                <c:ptCount val="5"/>
                <c:pt idx="0">
                  <c:v>200px</c:v>
                </c:pt>
                <c:pt idx="1">
                  <c:v>250px</c:v>
                </c:pt>
                <c:pt idx="2">
                  <c:v>300px</c:v>
                </c:pt>
                <c:pt idx="3">
                  <c:v>350px</c:v>
                </c:pt>
                <c:pt idx="4">
                  <c:v>400px</c:v>
                </c:pt>
              </c:strCache>
            </c:strRef>
          </c:cat>
          <c:val>
            <c:numRef>
              <c:f>'cus200'!$C$23:$C$27</c:f>
              <c:numCache>
                <c:formatCode>General</c:formatCode>
                <c:ptCount val="5"/>
                <c:pt idx="0">
                  <c:v>0.45339423418045011</c:v>
                </c:pt>
                <c:pt idx="1">
                  <c:v>0.66021633148193304</c:v>
                </c:pt>
                <c:pt idx="2">
                  <c:v>0.78711858391761735</c:v>
                </c:pt>
                <c:pt idx="3">
                  <c:v>1.2201090123918279</c:v>
                </c:pt>
                <c:pt idx="4">
                  <c:v>1.5736395418643925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AB-480E-8A37-FC65CC08AAD9}"/>
            </c:ext>
          </c:extLst>
        </c:ser>
        <c:ser>
          <c:idx val="2"/>
          <c:order val="2"/>
          <c:tx>
            <c:strRef>
              <c:f>'cus200'!$D$22</c:f>
              <c:strCache>
                <c:ptCount val="1"/>
                <c:pt idx="0">
                  <c:v>2 device - Wifi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'cus200'!$A$23:$A$27</c:f>
              <c:strCache>
                <c:ptCount val="5"/>
                <c:pt idx="0">
                  <c:v>200px</c:v>
                </c:pt>
                <c:pt idx="1">
                  <c:v>250px</c:v>
                </c:pt>
                <c:pt idx="2">
                  <c:v>300px</c:v>
                </c:pt>
                <c:pt idx="3">
                  <c:v>350px</c:v>
                </c:pt>
                <c:pt idx="4">
                  <c:v>400px</c:v>
                </c:pt>
              </c:strCache>
            </c:strRef>
          </c:cat>
          <c:val>
            <c:numRef>
              <c:f>'cus200'!$D$23:$D$27</c:f>
              <c:numCache>
                <c:formatCode>General</c:formatCode>
                <c:ptCount val="5"/>
                <c:pt idx="0">
                  <c:v>0.58985227346420255</c:v>
                </c:pt>
                <c:pt idx="1">
                  <c:v>0.84167889753977443</c:v>
                </c:pt>
                <c:pt idx="2">
                  <c:v>1.0599876131330157</c:v>
                </c:pt>
                <c:pt idx="3">
                  <c:v>1.6157757441202749</c:v>
                </c:pt>
                <c:pt idx="4">
                  <c:v>2.1290450096130331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AB-480E-8A37-FC65CC08A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9693328"/>
        <c:axId val="839694160"/>
      </c:barChart>
      <c:catAx>
        <c:axId val="839693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694160"/>
        <c:crosses val="autoZero"/>
        <c:auto val="1"/>
        <c:lblAlgn val="ctr"/>
        <c:lblOffset val="100"/>
        <c:noMultiLvlLbl val="0"/>
      </c:catAx>
      <c:valAx>
        <c:axId val="83969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Inference Time (s)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69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891540</xdr:colOff>
      <xdr:row>28</xdr:row>
      <xdr:rowOff>106680</xdr:rowOff>
    </xdr:from>
    <xdr:to>
      <xdr:col>6</xdr:col>
      <xdr:colOff>99060</xdr:colOff>
      <xdr:row>50</xdr:row>
      <xdr:rowOff>129540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C29" workbookViewId="0">
      <selection activeCell="D39" sqref="D39"/>
    </sheetView>
  </sheetViews>
  <sheetFormatPr defaultRowHeight="14.4" x14ac:dyDescent="0.3"/>
  <cols>
    <col min="1" max="1" width="8.88671875" style="2"/>
    <col min="2" max="2" width="34.88671875" customWidth="1"/>
    <col min="3" max="3" width="37" customWidth="1"/>
    <col min="4" max="7" width="51.5546875" customWidth="1"/>
  </cols>
  <sheetData>
    <row r="1" spans="1:5" x14ac:dyDescent="0.3">
      <c r="B1" t="s">
        <v>0</v>
      </c>
      <c r="C1" t="s">
        <v>1</v>
      </c>
      <c r="D1" t="s">
        <v>5</v>
      </c>
      <c r="E1" t="s">
        <v>15</v>
      </c>
    </row>
    <row r="2" spans="1:5" x14ac:dyDescent="0.3">
      <c r="B2">
        <v>2.7263042926788299</v>
      </c>
      <c r="C2">
        <v>1.6656861305236801</v>
      </c>
      <c r="D2">
        <v>1.7582023143768299</v>
      </c>
      <c r="E2">
        <v>2.1039559841156001</v>
      </c>
    </row>
    <row r="3" spans="1:5" x14ac:dyDescent="0.3">
      <c r="B3">
        <v>3.1999204158782901</v>
      </c>
      <c r="C3">
        <v>1.54640269279479</v>
      </c>
      <c r="D3">
        <v>1.6034290790557799</v>
      </c>
      <c r="E3" s="2">
        <v>2.25373363494873</v>
      </c>
    </row>
    <row r="4" spans="1:5" x14ac:dyDescent="0.3">
      <c r="B4">
        <v>2.7496778964996298</v>
      </c>
      <c r="C4">
        <v>1.5865051746368399</v>
      </c>
      <c r="D4">
        <v>1.4601624011993399</v>
      </c>
      <c r="E4" s="2">
        <v>2.22912502288818</v>
      </c>
    </row>
    <row r="5" spans="1:5" x14ac:dyDescent="0.3">
      <c r="B5">
        <v>2.7028291225433301</v>
      </c>
      <c r="C5">
        <v>1.54638671875</v>
      </c>
      <c r="D5">
        <v>1.6184346675872801</v>
      </c>
      <c r="E5" s="2">
        <v>2.1036705970764098</v>
      </c>
    </row>
    <row r="6" spans="1:5" x14ac:dyDescent="0.3">
      <c r="B6">
        <v>2.7141692638397199</v>
      </c>
      <c r="C6">
        <v>1.5619983673095701</v>
      </c>
      <c r="D6">
        <v>1.50051498413085</v>
      </c>
      <c r="E6" s="2">
        <v>2.0756731033325102</v>
      </c>
    </row>
    <row r="7" spans="1:5" x14ac:dyDescent="0.3">
      <c r="B7">
        <v>2.7324738502502401</v>
      </c>
      <c r="C7">
        <v>1.58729243278503</v>
      </c>
      <c r="D7">
        <v>1.65201044082641</v>
      </c>
      <c r="E7" s="2">
        <v>2.0483937263488698</v>
      </c>
    </row>
    <row r="8" spans="1:5" x14ac:dyDescent="0.3">
      <c r="B8">
        <v>2.7089660167693999</v>
      </c>
      <c r="C8">
        <v>1.5536570549011199</v>
      </c>
      <c r="D8">
        <v>1.4630379676818801</v>
      </c>
      <c r="E8" s="2">
        <v>2.08876299858093</v>
      </c>
    </row>
    <row r="9" spans="1:5" x14ac:dyDescent="0.3">
      <c r="B9">
        <v>2.7376346588134699</v>
      </c>
      <c r="C9">
        <v>1.54118776321411</v>
      </c>
      <c r="D9">
        <v>1.6257963180541899</v>
      </c>
    </row>
    <row r="10" spans="1:5" x14ac:dyDescent="0.3">
      <c r="A10" s="2" t="s">
        <v>41</v>
      </c>
      <c r="B10" s="4">
        <f>AVERAGE(B2:B9)</f>
        <v>2.7839969396591133</v>
      </c>
      <c r="C10" s="4">
        <f>AVERAGE(C2:C9)</f>
        <v>1.5736395418643925</v>
      </c>
      <c r="D10" s="4">
        <f>AVERAGE(D2:D9)</f>
        <v>1.58519852161407</v>
      </c>
      <c r="E10" s="4">
        <f>AVERAGE(E2:E9)</f>
        <v>2.1290450096130331</v>
      </c>
    </row>
    <row r="11" spans="1:5" x14ac:dyDescent="0.3">
      <c r="A11" s="2" t="s">
        <v>43</v>
      </c>
      <c r="C11">
        <f>(($B$10-C10)/$B$10)*100</f>
        <v>43.47552903355286</v>
      </c>
      <c r="D11" s="2">
        <f t="shared" ref="D11:E11" si="0">(($B$10-D10)/$B$10)*100</f>
        <v>43.060335339011914</v>
      </c>
      <c r="E11" s="2">
        <f t="shared" si="0"/>
        <v>23.525598060688811</v>
      </c>
    </row>
    <row r="12" spans="1:5" x14ac:dyDescent="0.3">
      <c r="B12" t="s">
        <v>20</v>
      </c>
    </row>
    <row r="13" spans="1:5" x14ac:dyDescent="0.3">
      <c r="C13" t="s">
        <v>18</v>
      </c>
    </row>
    <row r="14" spans="1:5" x14ac:dyDescent="0.3">
      <c r="B14" t="s">
        <v>17</v>
      </c>
      <c r="C14" t="s">
        <v>19</v>
      </c>
    </row>
    <row r="15" spans="1:5" x14ac:dyDescent="0.3">
      <c r="B15" t="s">
        <v>21</v>
      </c>
    </row>
    <row r="18" spans="2:5" x14ac:dyDescent="0.3">
      <c r="B18" s="2" t="s">
        <v>34</v>
      </c>
      <c r="C18" t="s">
        <v>35</v>
      </c>
      <c r="D18" t="s">
        <v>38</v>
      </c>
      <c r="E18" t="s">
        <v>39</v>
      </c>
    </row>
    <row r="19" spans="2:5" x14ac:dyDescent="0.3">
      <c r="B19">
        <v>1.9259135723114</v>
      </c>
      <c r="C19">
        <v>4.9741809368133501</v>
      </c>
      <c r="D19">
        <v>1.19820404052734</v>
      </c>
      <c r="E19">
        <v>2.8366687297821001</v>
      </c>
    </row>
    <row r="20" spans="2:5" x14ac:dyDescent="0.3">
      <c r="B20">
        <v>1.5315902233123699</v>
      </c>
      <c r="C20">
        <v>2.0970191955566402</v>
      </c>
      <c r="D20">
        <v>1.0944640636444001</v>
      </c>
      <c r="E20">
        <v>2.0658681392669598</v>
      </c>
    </row>
    <row r="21" spans="2:5" x14ac:dyDescent="0.3">
      <c r="B21">
        <v>1.3061876296996999</v>
      </c>
      <c r="C21">
        <v>2.8662323951721098</v>
      </c>
      <c r="D21">
        <v>1.0758743286132799</v>
      </c>
      <c r="E21">
        <v>2.0779037475585902</v>
      </c>
    </row>
    <row r="22" spans="2:5" x14ac:dyDescent="0.3">
      <c r="B22">
        <v>1.21044898033142</v>
      </c>
      <c r="C22">
        <v>2.7445554733276301</v>
      </c>
      <c r="D22">
        <v>1.05045390129089</v>
      </c>
      <c r="E22">
        <v>2.4810438156127899</v>
      </c>
    </row>
    <row r="23" spans="2:5" x14ac:dyDescent="0.3">
      <c r="B23">
        <v>1.2070562839507999</v>
      </c>
      <c r="C23">
        <v>2.3702976703643799</v>
      </c>
      <c r="D23">
        <v>1.04883956909179</v>
      </c>
      <c r="E23">
        <v>2.0653271675109801</v>
      </c>
    </row>
    <row r="24" spans="2:5" x14ac:dyDescent="0.3">
      <c r="B24">
        <v>1.2047472000121999</v>
      </c>
      <c r="C24">
        <v>2.1466267108917201</v>
      </c>
      <c r="D24">
        <v>1.0402073860168399</v>
      </c>
      <c r="E24">
        <v>2.0002663135528498</v>
      </c>
    </row>
    <row r="25" spans="2:5" x14ac:dyDescent="0.3">
      <c r="B25">
        <v>1.23384666442871</v>
      </c>
      <c r="C25">
        <v>2.2129099369049001</v>
      </c>
      <c r="D25">
        <v>1.0251755714416499</v>
      </c>
      <c r="E25">
        <v>2.0019116401672301</v>
      </c>
    </row>
    <row r="26" spans="2:5" x14ac:dyDescent="0.3">
      <c r="B26">
        <v>1.19843578338623</v>
      </c>
      <c r="C26">
        <v>1.9421460628509499</v>
      </c>
      <c r="D26">
        <v>1.06028175354003</v>
      </c>
      <c r="E26">
        <v>1.9779012203216499</v>
      </c>
    </row>
    <row r="27" spans="2:5" x14ac:dyDescent="0.3">
      <c r="C27">
        <v>4.7178707122802699</v>
      </c>
    </row>
    <row r="28" spans="2:5" x14ac:dyDescent="0.3">
      <c r="C28">
        <v>2.0765705108642498</v>
      </c>
    </row>
    <row r="29" spans="2:5" x14ac:dyDescent="0.3">
      <c r="C29">
        <v>2.0938031673431299</v>
      </c>
    </row>
    <row r="30" spans="2:5" x14ac:dyDescent="0.3">
      <c r="C30">
        <v>4.2892699241638104</v>
      </c>
    </row>
    <row r="31" spans="2:5" x14ac:dyDescent="0.3">
      <c r="C31">
        <v>2.1695582866668701</v>
      </c>
    </row>
    <row r="32" spans="2:5" x14ac:dyDescent="0.3">
      <c r="C32">
        <v>2.1297976970672599</v>
      </c>
    </row>
    <row r="33" spans="1:5" x14ac:dyDescent="0.3">
      <c r="C33">
        <v>2.17250227928161</v>
      </c>
    </row>
    <row r="34" spans="1:5" x14ac:dyDescent="0.3">
      <c r="C34">
        <v>2.2681913375854399</v>
      </c>
    </row>
    <row r="35" spans="1:5" x14ac:dyDescent="0.3">
      <c r="C35">
        <v>2.1139762401580802</v>
      </c>
    </row>
    <row r="38" spans="1:5" x14ac:dyDescent="0.3">
      <c r="A38" s="2" t="s">
        <v>41</v>
      </c>
      <c r="B38">
        <f>AVERAGE(B19:B37)</f>
        <v>1.3522782921791037</v>
      </c>
      <c r="C38" s="2">
        <f>AVERAGE(C19:C37)</f>
        <v>2.669735796311318</v>
      </c>
      <c r="D38" s="2">
        <f t="shared" ref="D38:E38" si="1">AVERAGE(D19:D37)</f>
        <v>1.0741875767707776</v>
      </c>
      <c r="E38" s="2">
        <f t="shared" si="1"/>
        <v>2.1883613467216438</v>
      </c>
    </row>
    <row r="39" spans="1:5" x14ac:dyDescent="0.3">
      <c r="A39" s="2" t="s">
        <v>43</v>
      </c>
      <c r="B39">
        <f>(($B$10-B38)/$B$10)*100</f>
        <v>51.426732087403678</v>
      </c>
      <c r="C39" s="2">
        <f t="shared" ref="C39:E39" si="2">(($B$10-C38)/$B$10)*100</f>
        <v>4.1042122467916959</v>
      </c>
      <c r="D39" s="2">
        <f t="shared" si="2"/>
        <v>61.415633707474313</v>
      </c>
      <c r="E39" s="2">
        <f t="shared" si="2"/>
        <v>21.39498016152281</v>
      </c>
    </row>
    <row r="40" spans="1:5" x14ac:dyDescent="0.3">
      <c r="A40" s="2" t="s">
        <v>42</v>
      </c>
      <c r="C40">
        <v>25.694658041000299</v>
      </c>
      <c r="E40">
        <v>3.5606095790863002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33" workbookViewId="0">
      <selection activeCell="D37" sqref="D37"/>
    </sheetView>
  </sheetViews>
  <sheetFormatPr defaultRowHeight="14.4" x14ac:dyDescent="0.3"/>
  <cols>
    <col min="1" max="1" width="8.88671875" style="2"/>
    <col min="2" max="2" width="19.33203125" customWidth="1"/>
    <col min="3" max="3" width="19.44140625" customWidth="1"/>
    <col min="4" max="4" width="33.109375" customWidth="1"/>
    <col min="5" max="5" width="37.5546875" customWidth="1"/>
  </cols>
  <sheetData>
    <row r="1" spans="1:5" x14ac:dyDescent="0.3">
      <c r="B1" t="s">
        <v>2</v>
      </c>
      <c r="C1" t="s">
        <v>3</v>
      </c>
      <c r="D1" t="s">
        <v>4</v>
      </c>
      <c r="E1" t="s">
        <v>14</v>
      </c>
    </row>
    <row r="2" spans="1:5" x14ac:dyDescent="0.3">
      <c r="B2" s="1">
        <v>2.2130436897277801</v>
      </c>
      <c r="C2">
        <v>1.32227134704589</v>
      </c>
      <c r="D2">
        <v>1.21235370635986</v>
      </c>
      <c r="E2">
        <v>1.5986359119415201</v>
      </c>
    </row>
    <row r="3" spans="1:5" x14ac:dyDescent="0.3">
      <c r="B3">
        <v>2.6781747341156001</v>
      </c>
      <c r="C3">
        <v>1.20089530944824</v>
      </c>
      <c r="D3" s="2">
        <v>1.25619840621948</v>
      </c>
      <c r="E3" s="2">
        <v>1.6469740867614699</v>
      </c>
    </row>
    <row r="4" spans="1:5" x14ac:dyDescent="0.3">
      <c r="B4">
        <v>2.1743967533111501</v>
      </c>
      <c r="C4">
        <v>1.2058174610137899</v>
      </c>
      <c r="D4" s="2">
        <v>1.27026295661926</v>
      </c>
      <c r="E4" s="2">
        <v>1.6401829719543399</v>
      </c>
    </row>
    <row r="5" spans="1:5" x14ac:dyDescent="0.3">
      <c r="B5">
        <v>2.17181301116943</v>
      </c>
      <c r="C5">
        <v>1.1955218315124501</v>
      </c>
      <c r="D5" s="2">
        <v>1.1222176551818801</v>
      </c>
      <c r="E5" s="2">
        <v>1.6030478477478001</v>
      </c>
    </row>
    <row r="6" spans="1:5" x14ac:dyDescent="0.3">
      <c r="B6">
        <v>2.17968702316284</v>
      </c>
      <c r="C6">
        <v>1.187096118927</v>
      </c>
      <c r="D6" s="2">
        <v>1.25014376640319</v>
      </c>
      <c r="E6" s="2">
        <v>1.6087722778320299</v>
      </c>
    </row>
    <row r="7" spans="1:5" x14ac:dyDescent="0.3">
      <c r="B7">
        <v>2.2155396938323899</v>
      </c>
      <c r="C7">
        <v>1.21767282485961</v>
      </c>
      <c r="D7" s="2">
        <v>1.22424411773681</v>
      </c>
      <c r="E7" s="2">
        <v>1.59704136848449</v>
      </c>
    </row>
    <row r="8" spans="1:5" x14ac:dyDescent="0.3">
      <c r="B8">
        <v>2.1584312915802002</v>
      </c>
      <c r="C8">
        <v>1.2241578102111801</v>
      </c>
      <c r="D8" s="2">
        <v>1.12961626052856</v>
      </c>
      <c r="E8" s="2"/>
    </row>
    <row r="9" spans="1:5" x14ac:dyDescent="0.3">
      <c r="B9">
        <v>2.1936399936675999</v>
      </c>
      <c r="C9">
        <v>1.21087765693664</v>
      </c>
      <c r="D9" s="2">
        <v>1.24871349334716</v>
      </c>
      <c r="E9" s="2"/>
    </row>
    <row r="10" spans="1:5" x14ac:dyDescent="0.3">
      <c r="C10">
        <v>1.2166707515716499</v>
      </c>
    </row>
    <row r="12" spans="1:5" x14ac:dyDescent="0.3">
      <c r="A12" s="2" t="s">
        <v>41</v>
      </c>
      <c r="B12">
        <f>AVERAGE(B2:B11)</f>
        <v>2.248090773820874</v>
      </c>
      <c r="C12" s="2">
        <f>AVERAGE(C2:C11)</f>
        <v>1.2201090123918279</v>
      </c>
      <c r="D12" s="2">
        <f>AVERAGE(D2:D11)</f>
        <v>1.2142187952995251</v>
      </c>
      <c r="E12" s="2">
        <f>AVERAGE(E2:E11)</f>
        <v>1.6157757441202749</v>
      </c>
    </row>
    <row r="13" spans="1:5" x14ac:dyDescent="0.3">
      <c r="A13" s="2" t="s">
        <v>43</v>
      </c>
      <c r="C13">
        <f>(($B$12-C12)/$B$12)*100</f>
        <v>45.726879599344635</v>
      </c>
      <c r="D13" s="2">
        <f t="shared" ref="D13:E13" si="0">(($B$12-D12)/$B$12)*100</f>
        <v>45.988889352727128</v>
      </c>
      <c r="E13" s="2">
        <f t="shared" si="0"/>
        <v>28.126757027071069</v>
      </c>
    </row>
    <row r="15" spans="1:5" x14ac:dyDescent="0.3">
      <c r="B15" s="2" t="s">
        <v>34</v>
      </c>
      <c r="C15" t="s">
        <v>35</v>
      </c>
      <c r="D15" t="s">
        <v>38</v>
      </c>
      <c r="E15" t="s">
        <v>39</v>
      </c>
    </row>
    <row r="16" spans="1:5" x14ac:dyDescent="0.3">
      <c r="B16">
        <v>1.1166758537292401</v>
      </c>
      <c r="C16">
        <v>1.7479162216186499</v>
      </c>
      <c r="D16">
        <v>1.00110983848571</v>
      </c>
      <c r="E16">
        <v>3.8405950069427401</v>
      </c>
    </row>
    <row r="17" spans="2:5" x14ac:dyDescent="0.3">
      <c r="B17">
        <v>0.93501281738281194</v>
      </c>
      <c r="C17">
        <v>1.7146961688995299</v>
      </c>
      <c r="D17">
        <v>0.96381282806396396</v>
      </c>
      <c r="E17">
        <v>1.5562427043914699</v>
      </c>
    </row>
    <row r="18" spans="2:5" x14ac:dyDescent="0.3">
      <c r="B18">
        <v>0.91984486579894997</v>
      </c>
      <c r="C18">
        <v>1.58146619796752</v>
      </c>
      <c r="D18">
        <v>0.85372829437255804</v>
      </c>
      <c r="E18">
        <v>1.50903439521789</v>
      </c>
    </row>
    <row r="19" spans="2:5" x14ac:dyDescent="0.3">
      <c r="B19">
        <v>1.06932950019836</v>
      </c>
      <c r="C19">
        <v>1.6558151245117101</v>
      </c>
      <c r="D19">
        <v>0.82730197906494096</v>
      </c>
      <c r="E19">
        <v>1.5075824260711601</v>
      </c>
    </row>
    <row r="20" spans="2:5" x14ac:dyDescent="0.3">
      <c r="B20">
        <v>0.94036674499511697</v>
      </c>
      <c r="C20">
        <v>1.5978097915649401</v>
      </c>
      <c r="D20">
        <v>0.85729813575744596</v>
      </c>
      <c r="E20">
        <v>1.54013276100158</v>
      </c>
    </row>
    <row r="21" spans="2:5" x14ac:dyDescent="0.3">
      <c r="B21">
        <v>0.99985361099243097</v>
      </c>
      <c r="C21">
        <v>1.61279916763305</v>
      </c>
      <c r="D21">
        <v>0.876634120941162</v>
      </c>
      <c r="E21">
        <v>2.0614721775054901</v>
      </c>
    </row>
    <row r="22" spans="2:5" x14ac:dyDescent="0.3">
      <c r="C22">
        <v>1.7057261466979901</v>
      </c>
      <c r="D22">
        <v>0.83306121826171797</v>
      </c>
      <c r="E22">
        <v>3.0149345397949201</v>
      </c>
    </row>
    <row r="23" spans="2:5" x14ac:dyDescent="0.3">
      <c r="C23">
        <v>1.67428922653198</v>
      </c>
      <c r="D23">
        <v>0.82539868354797297</v>
      </c>
      <c r="E23">
        <v>1.58790659904479</v>
      </c>
    </row>
    <row r="24" spans="2:5" x14ac:dyDescent="0.3">
      <c r="C24">
        <v>1.65594387054443</v>
      </c>
      <c r="D24">
        <v>0.80747890472412098</v>
      </c>
    </row>
    <row r="25" spans="2:5" x14ac:dyDescent="0.3">
      <c r="C25">
        <v>1.6445782184600799</v>
      </c>
    </row>
    <row r="26" spans="2:5" x14ac:dyDescent="0.3">
      <c r="C26">
        <v>1.58215260505676</v>
      </c>
    </row>
    <row r="27" spans="2:5" x14ac:dyDescent="0.3">
      <c r="C27">
        <v>1.59138011932373</v>
      </c>
    </row>
    <row r="28" spans="2:5" x14ac:dyDescent="0.3">
      <c r="C28">
        <v>2.4814097881317099</v>
      </c>
    </row>
    <row r="29" spans="2:5" x14ac:dyDescent="0.3">
      <c r="C29">
        <v>3.3916447162628098</v>
      </c>
    </row>
    <row r="30" spans="2:5" x14ac:dyDescent="0.3">
      <c r="C30">
        <v>1.69263291358947</v>
      </c>
    </row>
    <row r="31" spans="2:5" x14ac:dyDescent="0.3">
      <c r="C31">
        <v>1.54472732543945</v>
      </c>
    </row>
    <row r="36" spans="1:5" x14ac:dyDescent="0.3">
      <c r="A36" s="2" t="s">
        <v>41</v>
      </c>
      <c r="B36">
        <f>AVERAGE(B16:B35)</f>
        <v>0.99684723218281823</v>
      </c>
      <c r="C36" s="2">
        <f>AVERAGE(C16:C35)</f>
        <v>1.8046867251396133</v>
      </c>
      <c r="D36" s="2">
        <f t="shared" ref="D36:E36" si="1">AVERAGE(D16:D35)</f>
        <v>0.87175822257995472</v>
      </c>
      <c r="E36" s="2">
        <f t="shared" si="1"/>
        <v>2.0772375762462549</v>
      </c>
    </row>
    <row r="37" spans="1:5" x14ac:dyDescent="0.3">
      <c r="A37" s="2" t="s">
        <v>43</v>
      </c>
      <c r="B37">
        <f>(($B$12-B36)/$B$12)*100</f>
        <v>55.658052433151163</v>
      </c>
      <c r="C37" s="2">
        <f t="shared" ref="C37:E37" si="2">(($B$12-C36)/$B$12)*100</f>
        <v>19.723582955133413</v>
      </c>
      <c r="D37" s="2">
        <f t="shared" si="2"/>
        <v>61.222285473005741</v>
      </c>
      <c r="E37" s="2">
        <f t="shared" si="2"/>
        <v>7.5999243253080699</v>
      </c>
    </row>
    <row r="38" spans="1:5" x14ac:dyDescent="0.3">
      <c r="A38" s="2" t="s">
        <v>42</v>
      </c>
      <c r="B38">
        <v>11.707224130630401</v>
      </c>
      <c r="C38">
        <v>29.4607942104339</v>
      </c>
      <c r="E38">
        <v>10.398321151733301</v>
      </c>
    </row>
    <row r="39" spans="1:5" x14ac:dyDescent="0.3">
      <c r="B39">
        <v>9.1682500839233398</v>
      </c>
      <c r="C39">
        <v>5.9828677177429199</v>
      </c>
    </row>
    <row r="40" spans="1:5" x14ac:dyDescent="0.3">
      <c r="B40">
        <v>11.7609145641326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opLeftCell="A25" workbookViewId="0">
      <selection activeCell="D37" sqref="D37"/>
    </sheetView>
  </sheetViews>
  <sheetFormatPr defaultRowHeight="14.4" x14ac:dyDescent="0.3"/>
  <cols>
    <col min="1" max="1" width="8.88671875" style="2"/>
    <col min="2" max="2" width="22.88671875" customWidth="1"/>
    <col min="3" max="3" width="29.44140625" customWidth="1"/>
    <col min="4" max="4" width="33.33203125" customWidth="1"/>
    <col min="5" max="5" width="34.88671875" customWidth="1"/>
  </cols>
  <sheetData>
    <row r="1" spans="1:5" x14ac:dyDescent="0.3">
      <c r="B1" t="s">
        <v>2</v>
      </c>
      <c r="C1" t="s">
        <v>3</v>
      </c>
      <c r="D1" t="s">
        <v>4</v>
      </c>
      <c r="E1" t="s">
        <v>14</v>
      </c>
    </row>
    <row r="2" spans="1:5" x14ac:dyDescent="0.3">
      <c r="B2">
        <v>1.51033282279968</v>
      </c>
      <c r="C2" s="2">
        <v>0.89816117286682096</v>
      </c>
      <c r="D2">
        <v>0.99696874618530196</v>
      </c>
      <c r="E2">
        <v>1.0456306934356601</v>
      </c>
    </row>
    <row r="3" spans="1:5" x14ac:dyDescent="0.3">
      <c r="B3">
        <v>1.9808943271636901</v>
      </c>
      <c r="C3">
        <v>0.76348900794982899</v>
      </c>
      <c r="D3" s="2">
        <v>0.89423823356628396</v>
      </c>
      <c r="E3" s="2">
        <v>1.07280278205871</v>
      </c>
    </row>
    <row r="4" spans="1:5" x14ac:dyDescent="0.3">
      <c r="B4">
        <v>1.5159230232238701</v>
      </c>
      <c r="C4">
        <v>0.77510046958923295</v>
      </c>
      <c r="D4" s="2">
        <v>0.84701561927795399</v>
      </c>
      <c r="E4" s="2">
        <v>1.0411250591278001</v>
      </c>
    </row>
    <row r="5" spans="1:5" x14ac:dyDescent="0.3">
      <c r="B5">
        <v>1.5389554500579801</v>
      </c>
      <c r="C5">
        <v>0.76630973815917902</v>
      </c>
      <c r="D5" s="2">
        <v>0.89056468009948697</v>
      </c>
      <c r="E5" s="2"/>
    </row>
    <row r="6" spans="1:5" x14ac:dyDescent="0.3">
      <c r="B6">
        <v>1.5163257122039699</v>
      </c>
      <c r="C6">
        <v>0.79194140434265103</v>
      </c>
      <c r="D6" s="2">
        <v>0.70315170288085904</v>
      </c>
      <c r="E6" s="2">
        <v>1.05423164367675</v>
      </c>
    </row>
    <row r="7" spans="1:5" x14ac:dyDescent="0.3">
      <c r="B7">
        <v>1.5848572254180899</v>
      </c>
      <c r="C7">
        <v>0.76927757263183505</v>
      </c>
      <c r="D7" s="2">
        <v>0.93132376670837402</v>
      </c>
      <c r="E7" s="2">
        <v>1.0824501514434799</v>
      </c>
    </row>
    <row r="8" spans="1:5" x14ac:dyDescent="0.3">
      <c r="B8">
        <v>1.51847839355468</v>
      </c>
      <c r="C8">
        <v>0.76259231567382801</v>
      </c>
      <c r="D8" s="2">
        <v>0.83017754554748502</v>
      </c>
      <c r="E8" s="2">
        <v>1.07312130928039</v>
      </c>
    </row>
    <row r="9" spans="1:5" x14ac:dyDescent="0.3">
      <c r="B9">
        <v>1.5216817855834901</v>
      </c>
      <c r="C9">
        <v>0.77007699012756303</v>
      </c>
      <c r="D9" s="2">
        <v>0.82789039611816395</v>
      </c>
      <c r="E9" s="2">
        <v>1.0505516529083201</v>
      </c>
    </row>
    <row r="11" spans="1:5" x14ac:dyDescent="0.3">
      <c r="A11" s="2" t="s">
        <v>41</v>
      </c>
      <c r="B11">
        <f>AVERAGE(B2:B10)</f>
        <v>1.5859310925006815</v>
      </c>
      <c r="C11" s="2">
        <f>AVERAGE(C2:C10)</f>
        <v>0.78711858391761735</v>
      </c>
      <c r="D11" s="2">
        <f>AVERAGE(D2:D10)</f>
        <v>0.86516633629798867</v>
      </c>
      <c r="E11" s="2">
        <f>AVERAGE(E2:E10)</f>
        <v>1.0599876131330157</v>
      </c>
    </row>
    <row r="12" spans="1:5" x14ac:dyDescent="0.3">
      <c r="A12" s="2" t="s">
        <v>43</v>
      </c>
      <c r="C12">
        <f>(($B$11-C11)/$B$11)*100</f>
        <v>50.368676946960157</v>
      </c>
      <c r="D12" s="2">
        <f t="shared" ref="D12:E12" si="0">(($B$11-D11)/$B$11)*100</f>
        <v>45.447419475596362</v>
      </c>
      <c r="E12" s="2">
        <f t="shared" si="0"/>
        <v>33.163072585856362</v>
      </c>
    </row>
    <row r="14" spans="1:5" x14ac:dyDescent="0.3">
      <c r="B14" t="s">
        <v>34</v>
      </c>
      <c r="C14" t="s">
        <v>35</v>
      </c>
      <c r="D14" t="s">
        <v>38</v>
      </c>
      <c r="E14" t="s">
        <v>39</v>
      </c>
    </row>
    <row r="15" spans="1:5" x14ac:dyDescent="0.3">
      <c r="C15">
        <v>1.3011720180511399</v>
      </c>
      <c r="D15">
        <v>0.699210405349731</v>
      </c>
      <c r="E15">
        <v>1.58235740661621</v>
      </c>
    </row>
    <row r="16" spans="1:5" x14ac:dyDescent="0.3">
      <c r="B16">
        <v>0.64532899856567305</v>
      </c>
      <c r="C16">
        <v>1.1511859893798799</v>
      </c>
      <c r="D16">
        <v>0.66884160041809004</v>
      </c>
      <c r="E16">
        <v>1.0946114063262899</v>
      </c>
    </row>
    <row r="17" spans="2:5" x14ac:dyDescent="0.3">
      <c r="B17">
        <v>0.62490177154541005</v>
      </c>
      <c r="C17">
        <v>1.1274824142455999</v>
      </c>
      <c r="D17">
        <v>0.57910895347595204</v>
      </c>
      <c r="E17">
        <v>1.19067287445068</v>
      </c>
    </row>
    <row r="18" spans="2:5" x14ac:dyDescent="0.3">
      <c r="B18">
        <v>0.64282369613647405</v>
      </c>
      <c r="C18">
        <v>1.0971202850341699</v>
      </c>
      <c r="D18">
        <v>0.57162904739379805</v>
      </c>
      <c r="E18">
        <v>2.2391607761382999</v>
      </c>
    </row>
    <row r="19" spans="2:5" x14ac:dyDescent="0.3">
      <c r="B19">
        <v>0.64164996147155695</v>
      </c>
      <c r="C19">
        <v>1.1255118846893299</v>
      </c>
      <c r="D19">
        <v>0.57487988471984797</v>
      </c>
      <c r="E19">
        <v>2.3131246566772399</v>
      </c>
    </row>
    <row r="20" spans="2:5" x14ac:dyDescent="0.3">
      <c r="B20">
        <v>0.63246512413024902</v>
      </c>
      <c r="C20">
        <v>1.0934646129608101</v>
      </c>
      <c r="D20">
        <v>0.61417436599731401</v>
      </c>
      <c r="E20">
        <v>1.1470248699188199</v>
      </c>
    </row>
    <row r="21" spans="2:5" x14ac:dyDescent="0.3">
      <c r="B21">
        <v>0.63831925392150801</v>
      </c>
      <c r="C21">
        <v>1.1202323436737001</v>
      </c>
      <c r="D21">
        <v>0.56573438644409102</v>
      </c>
      <c r="E21">
        <v>1.10838174819946</v>
      </c>
    </row>
    <row r="22" spans="2:5" x14ac:dyDescent="0.3">
      <c r="B22">
        <v>0.62757205963134699</v>
      </c>
      <c r="C22">
        <v>1.1356730461120601</v>
      </c>
      <c r="D22">
        <v>0.55720520019531194</v>
      </c>
      <c r="E22">
        <v>1.29148721694946</v>
      </c>
    </row>
    <row r="23" spans="2:5" x14ac:dyDescent="0.3">
      <c r="B23">
        <v>0.61654782295226995</v>
      </c>
      <c r="C23">
        <v>3.4540114402770898</v>
      </c>
      <c r="E23">
        <v>1.04234147071838</v>
      </c>
    </row>
    <row r="24" spans="2:5" x14ac:dyDescent="0.3">
      <c r="C24">
        <v>2.2179439067840501</v>
      </c>
    </row>
    <row r="25" spans="2:5" x14ac:dyDescent="0.3">
      <c r="C25">
        <v>1.1097207069396899</v>
      </c>
    </row>
    <row r="26" spans="2:5" x14ac:dyDescent="0.3">
      <c r="C26">
        <v>1.1847021579742401</v>
      </c>
    </row>
    <row r="27" spans="2:5" x14ac:dyDescent="0.3">
      <c r="C27">
        <v>2.5362668037414502</v>
      </c>
    </row>
    <row r="28" spans="2:5" x14ac:dyDescent="0.3">
      <c r="C28">
        <v>2.26233911514282</v>
      </c>
    </row>
    <row r="29" spans="2:5" x14ac:dyDescent="0.3">
      <c r="C29">
        <v>1.0599131584167401</v>
      </c>
    </row>
    <row r="30" spans="2:5" x14ac:dyDescent="0.3">
      <c r="C30">
        <v>1.04044461250305</v>
      </c>
    </row>
    <row r="34" spans="1:5" x14ac:dyDescent="0.3">
      <c r="A34" s="2" t="s">
        <v>40</v>
      </c>
      <c r="B34">
        <f>AVERAGE(B15:B33)</f>
        <v>0.63370108604431097</v>
      </c>
      <c r="C34" s="2">
        <f>AVERAGE(C15:C33)</f>
        <v>1.5010740309953641</v>
      </c>
      <c r="D34" s="2">
        <f t="shared" ref="D34:E34" si="1">AVERAGE(D15:D33)</f>
        <v>0.60384798049926702</v>
      </c>
      <c r="E34" s="2">
        <f t="shared" si="1"/>
        <v>1.4454624917772041</v>
      </c>
    </row>
    <row r="36" spans="1:5" x14ac:dyDescent="0.3">
      <c r="A36" s="2" t="s">
        <v>36</v>
      </c>
      <c r="B36">
        <v>0.74662494659423795</v>
      </c>
      <c r="C36">
        <v>30.024183988571099</v>
      </c>
    </row>
    <row r="37" spans="1:5" x14ac:dyDescent="0.3">
      <c r="A37" s="2" t="s">
        <v>43</v>
      </c>
      <c r="B37">
        <f>(($B$11-B34)/$B$11)*100</f>
        <v>60.04233165987705</v>
      </c>
      <c r="C37" s="2">
        <f t="shared" ref="C37:E37" si="2">(($B$11-C34)/$B$11)*100</f>
        <v>5.3506146582646057</v>
      </c>
      <c r="D37" s="2">
        <f t="shared" si="2"/>
        <v>61.924702570328883</v>
      </c>
      <c r="E37" s="2">
        <f t="shared" si="2"/>
        <v>8.8571692293381954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opLeftCell="A28" workbookViewId="0">
      <selection activeCell="D39" sqref="D39"/>
    </sheetView>
  </sheetViews>
  <sheetFormatPr defaultRowHeight="14.4" x14ac:dyDescent="0.3"/>
  <cols>
    <col min="1" max="1" width="8.88671875" style="2"/>
    <col min="2" max="2" width="15.33203125" customWidth="1"/>
    <col min="3" max="3" width="16.88671875" customWidth="1"/>
    <col min="4" max="4" width="26.6640625" customWidth="1"/>
    <col min="5" max="5" width="31.109375" customWidth="1"/>
  </cols>
  <sheetData>
    <row r="1" spans="1:5" x14ac:dyDescent="0.3">
      <c r="B1" t="s">
        <v>2</v>
      </c>
      <c r="C1" t="s">
        <v>3</v>
      </c>
      <c r="D1" t="s">
        <v>4</v>
      </c>
      <c r="E1" t="s">
        <v>13</v>
      </c>
    </row>
    <row r="4" spans="1:5" x14ac:dyDescent="0.3">
      <c r="B4">
        <v>1.3392517566680899</v>
      </c>
      <c r="C4">
        <v>0.76217746734619096</v>
      </c>
      <c r="D4">
        <v>0.67859339714050204</v>
      </c>
      <c r="E4">
        <v>0.84469127655029297</v>
      </c>
    </row>
    <row r="5" spans="1:5" x14ac:dyDescent="0.3">
      <c r="B5">
        <v>1.7999744415283201</v>
      </c>
      <c r="C5">
        <v>0.64278388023376398</v>
      </c>
      <c r="D5" s="2">
        <v>0.69146227836608798</v>
      </c>
      <c r="E5">
        <v>0.85600519180297796</v>
      </c>
    </row>
    <row r="6" spans="1:5" x14ac:dyDescent="0.3">
      <c r="B6">
        <v>1.33094429969787</v>
      </c>
      <c r="C6">
        <v>0.64899349212646396</v>
      </c>
      <c r="D6" s="2">
        <v>0.69754338264465299</v>
      </c>
      <c r="E6">
        <v>0.82149028778076105</v>
      </c>
    </row>
    <row r="7" spans="1:5" x14ac:dyDescent="0.3">
      <c r="B7">
        <v>1.3390696048736499</v>
      </c>
      <c r="C7">
        <v>0.63432884216308505</v>
      </c>
      <c r="D7" s="2">
        <v>0.60643529891967696</v>
      </c>
      <c r="E7">
        <v>0.83768463134765603</v>
      </c>
    </row>
    <row r="8" spans="1:5" x14ac:dyDescent="0.3">
      <c r="B8">
        <v>1.3346526622772199</v>
      </c>
      <c r="C8">
        <v>0.65192794799804599</v>
      </c>
      <c r="D8" s="2">
        <v>0.69358587265014604</v>
      </c>
      <c r="E8">
        <v>0.84925246238708496</v>
      </c>
    </row>
    <row r="9" spans="1:5" x14ac:dyDescent="0.3">
      <c r="B9">
        <v>1.36448526382446</v>
      </c>
      <c r="C9">
        <v>0.65107393264770497</v>
      </c>
      <c r="D9" s="2">
        <v>0.72269201278686501</v>
      </c>
      <c r="E9">
        <v>0.84094953536987305</v>
      </c>
    </row>
    <row r="10" spans="1:5" x14ac:dyDescent="0.3">
      <c r="B10">
        <v>1.3413212299346899</v>
      </c>
      <c r="C10">
        <v>0.64876794815063399</v>
      </c>
      <c r="D10" s="2">
        <v>0.69642901420593195</v>
      </c>
    </row>
    <row r="11" spans="1:5" x14ac:dyDescent="0.3">
      <c r="B11">
        <v>1.3338255882263099</v>
      </c>
      <c r="C11">
        <v>0.64167714118957497</v>
      </c>
      <c r="D11" s="2">
        <v>0.67180466651916504</v>
      </c>
    </row>
    <row r="13" spans="1:5" x14ac:dyDescent="0.3">
      <c r="A13" s="2" t="s">
        <v>41</v>
      </c>
      <c r="B13">
        <f>AVERAGE(B4:B12)</f>
        <v>1.3979406058788262</v>
      </c>
      <c r="C13" s="2">
        <f>AVERAGE(C4:C12)</f>
        <v>0.66021633148193304</v>
      </c>
      <c r="D13" s="2">
        <f>AVERAGE(D4:D12)</f>
        <v>0.68231824040412847</v>
      </c>
      <c r="E13" s="2">
        <f>AVERAGE(E4:E12)</f>
        <v>0.84167889753977443</v>
      </c>
    </row>
    <row r="14" spans="1:5" x14ac:dyDescent="0.3">
      <c r="A14" s="2" t="s">
        <v>43</v>
      </c>
      <c r="C14">
        <f>(($B$13-C13)/$B$13)*100</f>
        <v>52.772218740517744</v>
      </c>
      <c r="D14" s="2">
        <f t="shared" ref="D14:E14" si="0">(($B$13-D13)/$B$13)*100</f>
        <v>51.191185266760044</v>
      </c>
      <c r="E14" s="2">
        <f t="shared" si="0"/>
        <v>39.791512314598911</v>
      </c>
    </row>
    <row r="15" spans="1:5" x14ac:dyDescent="0.3">
      <c r="B15" s="2" t="s">
        <v>30</v>
      </c>
      <c r="C15" t="s">
        <v>35</v>
      </c>
      <c r="D15" t="s">
        <v>38</v>
      </c>
      <c r="E15" t="s">
        <v>39</v>
      </c>
    </row>
    <row r="16" spans="1:5" x14ac:dyDescent="0.3">
      <c r="B16" s="2">
        <v>0.542713642120361</v>
      </c>
      <c r="C16">
        <v>1.0120725631713801</v>
      </c>
      <c r="D16">
        <v>0.48314404487609802</v>
      </c>
      <c r="E16">
        <v>1.2370102405548</v>
      </c>
    </row>
    <row r="17" spans="2:5" x14ac:dyDescent="0.3">
      <c r="B17" s="2">
        <v>0.54661726951599099</v>
      </c>
      <c r="C17">
        <v>0.93405079841613703</v>
      </c>
      <c r="D17">
        <v>0.46691942214965798</v>
      </c>
      <c r="E17">
        <v>0.87667989730834905</v>
      </c>
    </row>
    <row r="18" spans="2:5" x14ac:dyDescent="0.3">
      <c r="B18" s="2">
        <v>0.54117488861083896</v>
      </c>
      <c r="C18">
        <v>0.88774013519287098</v>
      </c>
      <c r="D18">
        <v>0.46584463119506803</v>
      </c>
      <c r="E18">
        <v>0.84548807144164995</v>
      </c>
    </row>
    <row r="19" spans="2:5" x14ac:dyDescent="0.3">
      <c r="B19" s="2">
        <v>0.54320716857910101</v>
      </c>
      <c r="C19">
        <v>0.86977553367614702</v>
      </c>
      <c r="D19">
        <v>0.47833466529846103</v>
      </c>
      <c r="E19">
        <v>0.82889413833618097</v>
      </c>
    </row>
    <row r="20" spans="2:5" x14ac:dyDescent="0.3">
      <c r="B20" s="2">
        <v>0.54212045669555597</v>
      </c>
      <c r="C20">
        <v>2.4136905670165998</v>
      </c>
      <c r="D20">
        <v>0.46610260009765597</v>
      </c>
      <c r="E20">
        <v>0.85400652885437001</v>
      </c>
    </row>
    <row r="21" spans="2:5" x14ac:dyDescent="0.3">
      <c r="B21" s="2">
        <v>0.54266977310180597</v>
      </c>
      <c r="C21">
        <v>2.2061679363250701</v>
      </c>
      <c r="D21">
        <v>0.47628116607665999</v>
      </c>
      <c r="E21">
        <v>0.82856249809265103</v>
      </c>
    </row>
    <row r="22" spans="2:5" x14ac:dyDescent="0.3">
      <c r="B22" s="2">
        <v>0.55564713478088301</v>
      </c>
      <c r="C22">
        <v>0.87836074829101496</v>
      </c>
      <c r="D22">
        <v>0.47433304786682101</v>
      </c>
      <c r="E22">
        <v>0.88294601440429599</v>
      </c>
    </row>
    <row r="23" spans="2:5" x14ac:dyDescent="0.3">
      <c r="B23" s="2">
        <v>0.53361392021179199</v>
      </c>
      <c r="C23">
        <v>0.90154862403869596</v>
      </c>
      <c r="D23">
        <v>0.46220874786376898</v>
      </c>
    </row>
    <row r="24" spans="2:5" x14ac:dyDescent="0.3">
      <c r="C24">
        <v>2.45321321487426</v>
      </c>
    </row>
    <row r="25" spans="2:5" x14ac:dyDescent="0.3">
      <c r="C25">
        <v>1.09494376182556</v>
      </c>
    </row>
    <row r="26" spans="2:5" x14ac:dyDescent="0.3">
      <c r="C26">
        <v>0.90041303634643499</v>
      </c>
    </row>
    <row r="27" spans="2:5" x14ac:dyDescent="0.3">
      <c r="C27">
        <v>0.90444874763488703</v>
      </c>
    </row>
    <row r="28" spans="2:5" x14ac:dyDescent="0.3">
      <c r="C28">
        <v>0.893851518630981</v>
      </c>
    </row>
    <row r="29" spans="2:5" x14ac:dyDescent="0.3">
      <c r="C29">
        <v>0.87868833541870095</v>
      </c>
    </row>
    <row r="30" spans="2:5" x14ac:dyDescent="0.3">
      <c r="C30">
        <v>0.99144554138183505</v>
      </c>
    </row>
    <row r="31" spans="2:5" x14ac:dyDescent="0.3">
      <c r="C31">
        <v>1.06383776664733</v>
      </c>
    </row>
    <row r="35" spans="1:5" x14ac:dyDescent="0.3">
      <c r="A35" s="2" t="s">
        <v>37</v>
      </c>
      <c r="B35">
        <f>AVERAGE(B16:B34)</f>
        <v>0.54347053170204107</v>
      </c>
      <c r="C35" s="2">
        <f>AVERAGE(C16:C34)</f>
        <v>1.2052655518054944</v>
      </c>
      <c r="D35" s="2">
        <f>AVERAGE(D16:D34)</f>
        <v>0.47164604067802385</v>
      </c>
      <c r="E35" s="2">
        <f t="shared" ref="E35" si="1">AVERAGE(E16:E34)</f>
        <v>0.90765534128461389</v>
      </c>
    </row>
    <row r="38" spans="1:5" x14ac:dyDescent="0.3">
      <c r="A38" t="s">
        <v>36</v>
      </c>
      <c r="B38" s="2">
        <v>0.74698042869567804</v>
      </c>
      <c r="C38">
        <v>31.186969518661499</v>
      </c>
      <c r="D38">
        <v>0.61996054649353005</v>
      </c>
      <c r="E38">
        <v>1.4555189609527499</v>
      </c>
    </row>
    <row r="39" spans="1:5" x14ac:dyDescent="0.3">
      <c r="A39" s="2" t="s">
        <v>43</v>
      </c>
      <c r="B39">
        <f>(($B$13-B35)/$B$13)*100</f>
        <v>61.123489122745376</v>
      </c>
      <c r="C39" s="2">
        <f t="shared" ref="C39:E39" si="2">(($B$13-C35)/$B$13)*100</f>
        <v>13.78277827134187</v>
      </c>
      <c r="D39" s="2">
        <f t="shared" si="2"/>
        <v>66.261367707999312</v>
      </c>
      <c r="E39" s="2">
        <f t="shared" si="2"/>
        <v>35.071966758272296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opLeftCell="D24" workbookViewId="0">
      <selection activeCell="I36" sqref="I36"/>
    </sheetView>
  </sheetViews>
  <sheetFormatPr defaultRowHeight="14.4" x14ac:dyDescent="0.3"/>
  <cols>
    <col min="1" max="1" width="38.109375" customWidth="1"/>
    <col min="2" max="2" width="21.5546875" customWidth="1"/>
    <col min="3" max="3" width="21.6640625" customWidth="1"/>
    <col min="4" max="4" width="31.6640625" customWidth="1"/>
    <col min="6" max="6" width="11.6640625" customWidth="1"/>
    <col min="7" max="7" width="18.109375" customWidth="1"/>
    <col min="8" max="8" width="13.44140625" customWidth="1"/>
    <col min="9" max="9" width="17.21875" customWidth="1"/>
    <col min="10" max="10" width="13.88671875" customWidth="1"/>
  </cols>
  <sheetData>
    <row r="1" spans="1:10" x14ac:dyDescent="0.3">
      <c r="A1" t="s">
        <v>2</v>
      </c>
      <c r="B1" t="s">
        <v>3</v>
      </c>
      <c r="C1" t="s">
        <v>4</v>
      </c>
      <c r="D1" t="s">
        <v>13</v>
      </c>
      <c r="G1" s="2" t="s">
        <v>30</v>
      </c>
      <c r="H1" s="2" t="s">
        <v>31</v>
      </c>
      <c r="I1" t="s">
        <v>32</v>
      </c>
      <c r="J1" t="s">
        <v>33</v>
      </c>
    </row>
    <row r="2" spans="1:10" x14ac:dyDescent="0.3">
      <c r="G2" s="2">
        <v>0.38378429412841703</v>
      </c>
      <c r="H2">
        <v>0.77432751655578602</v>
      </c>
      <c r="I2">
        <v>0.501561880111694</v>
      </c>
      <c r="J2">
        <v>0.661551713943481</v>
      </c>
    </row>
    <row r="3" spans="1:10" x14ac:dyDescent="0.3">
      <c r="G3" s="2">
        <v>0.39677071571350098</v>
      </c>
      <c r="H3">
        <v>0.78292870521545399</v>
      </c>
      <c r="I3">
        <v>0.36760330200195301</v>
      </c>
      <c r="J3">
        <v>0.64515018463134699</v>
      </c>
    </row>
    <row r="4" spans="1:10" x14ac:dyDescent="0.3">
      <c r="A4">
        <v>1.00560545921325</v>
      </c>
      <c r="B4" s="1">
        <v>0.57292366027831998</v>
      </c>
      <c r="D4">
        <v>0.59384179115295399</v>
      </c>
      <c r="G4" s="2">
        <v>0.40796065330505299</v>
      </c>
      <c r="H4">
        <v>0.64902520179748502</v>
      </c>
      <c r="I4">
        <v>0.345317602157592</v>
      </c>
      <c r="J4">
        <v>0.61981391906738204</v>
      </c>
    </row>
    <row r="5" spans="1:10" x14ac:dyDescent="0.3">
      <c r="A5">
        <v>1.47121357917785</v>
      </c>
      <c r="B5" s="3">
        <v>0.44406867027282698</v>
      </c>
      <c r="C5">
        <v>0.47785329818725503</v>
      </c>
      <c r="D5">
        <v>0.58652949333190896</v>
      </c>
      <c r="G5" s="2">
        <v>0.379305839538574</v>
      </c>
      <c r="H5">
        <v>0.71933031082153298</v>
      </c>
      <c r="I5">
        <v>0.36266350746154702</v>
      </c>
      <c r="J5">
        <v>0.58296394348144498</v>
      </c>
    </row>
    <row r="6" spans="1:10" x14ac:dyDescent="0.3">
      <c r="A6">
        <v>1.0117042064666699</v>
      </c>
      <c r="B6" s="3">
        <v>0.43982028961181602</v>
      </c>
      <c r="C6">
        <v>0.41253161430358798</v>
      </c>
      <c r="D6">
        <v>0.59233093261718694</v>
      </c>
      <c r="G6" s="2">
        <v>0.377581596374511</v>
      </c>
      <c r="H6">
        <v>0.56388473510742099</v>
      </c>
      <c r="I6">
        <v>0.35802841186523399</v>
      </c>
      <c r="J6">
        <v>0.60082149505615201</v>
      </c>
    </row>
    <row r="7" spans="1:10" x14ac:dyDescent="0.3">
      <c r="A7">
        <v>1.00535368919372</v>
      </c>
      <c r="B7" s="3">
        <v>0.42922711372375399</v>
      </c>
      <c r="C7">
        <v>4.0890727043151802</v>
      </c>
      <c r="D7">
        <v>0.57377552986144997</v>
      </c>
      <c r="G7" s="2">
        <v>0.37844586372375399</v>
      </c>
      <c r="H7">
        <v>0.61610746383666903</v>
      </c>
      <c r="I7">
        <v>0.37091016769409102</v>
      </c>
      <c r="J7">
        <v>0.60613536834716797</v>
      </c>
    </row>
    <row r="8" spans="1:10" x14ac:dyDescent="0.3">
      <c r="A8">
        <v>1.01170873641967</v>
      </c>
      <c r="B8" s="3">
        <v>0.43332624435424799</v>
      </c>
      <c r="C8">
        <v>0.40732622146606401</v>
      </c>
      <c r="D8">
        <v>0.58680939674377397</v>
      </c>
      <c r="G8" s="2">
        <v>0.37937951087951599</v>
      </c>
      <c r="H8">
        <v>0.64130496978759699</v>
      </c>
      <c r="I8">
        <v>0.34982824325561501</v>
      </c>
      <c r="J8">
        <v>0.62039017677307096</v>
      </c>
    </row>
    <row r="9" spans="1:10" x14ac:dyDescent="0.3">
      <c r="A9">
        <v>1.05838823318481</v>
      </c>
      <c r="B9" s="3">
        <v>0.43836474418640098</v>
      </c>
      <c r="C9">
        <v>0.47801923751830999</v>
      </c>
      <c r="D9">
        <v>0.58223605155944802</v>
      </c>
      <c r="G9" s="2">
        <v>0.39941620826721103</v>
      </c>
      <c r="H9">
        <v>0.59766793251037598</v>
      </c>
      <c r="I9">
        <v>0.36776900291442799</v>
      </c>
      <c r="J9">
        <v>0.66739583015441895</v>
      </c>
    </row>
    <row r="10" spans="1:10" x14ac:dyDescent="0.3">
      <c r="A10">
        <v>1.00822329521179</v>
      </c>
      <c r="B10" s="3">
        <v>0.44320440292358398</v>
      </c>
      <c r="C10">
        <v>0.46024084091186501</v>
      </c>
      <c r="D10">
        <v>0.60436892509460405</v>
      </c>
      <c r="H10">
        <v>0.58568334579467696</v>
      </c>
      <c r="J10">
        <v>0.69884467124938898</v>
      </c>
    </row>
    <row r="11" spans="1:10" x14ac:dyDescent="0.3">
      <c r="A11">
        <v>1.0598549842834399</v>
      </c>
      <c r="B11" s="3">
        <v>0.42621874809265098</v>
      </c>
      <c r="C11">
        <v>0.471531152725219</v>
      </c>
      <c r="D11">
        <v>0.59892606735229403</v>
      </c>
      <c r="H11">
        <v>0.73104286193847601</v>
      </c>
    </row>
    <row r="12" spans="1:10" x14ac:dyDescent="0.3">
      <c r="H12">
        <v>0.63942503929138095</v>
      </c>
    </row>
    <row r="13" spans="1:10" x14ac:dyDescent="0.3">
      <c r="A13">
        <f>AVERAGE(A4:A12)</f>
        <v>1.0790065228938999</v>
      </c>
      <c r="B13" s="2">
        <f>AVERAGE(B4:B12)</f>
        <v>0.45339423418045011</v>
      </c>
      <c r="C13" s="2">
        <f>AVERAGE(C4:C12)</f>
        <v>0.97093929563249737</v>
      </c>
      <c r="D13" s="2">
        <f>AVERAGE(D4:D12)</f>
        <v>0.58985227346420255</v>
      </c>
      <c r="H13">
        <v>0.63921236991882302</v>
      </c>
    </row>
    <row r="14" spans="1:10" x14ac:dyDescent="0.3">
      <c r="H14">
        <v>0.59720873832702603</v>
      </c>
    </row>
    <row r="15" spans="1:10" x14ac:dyDescent="0.3">
      <c r="B15" s="2">
        <f t="shared" ref="B15:D15" si="0">(($A$13-B13)/$A$13)*100</f>
        <v>57.980399139344875</v>
      </c>
      <c r="C15" s="2">
        <f t="shared" si="0"/>
        <v>10.015437809547782</v>
      </c>
      <c r="D15" s="2">
        <f t="shared" si="0"/>
        <v>45.333762034893319</v>
      </c>
      <c r="H15">
        <v>0.63253831863403298</v>
      </c>
    </row>
    <row r="16" spans="1:10" x14ac:dyDescent="0.3">
      <c r="H16">
        <v>0.594632148742675</v>
      </c>
    </row>
    <row r="17" spans="1:10" x14ac:dyDescent="0.3">
      <c r="H17">
        <v>0.76851201057434004</v>
      </c>
    </row>
    <row r="18" spans="1:10" x14ac:dyDescent="0.3">
      <c r="H18">
        <v>0.6378755569458</v>
      </c>
    </row>
    <row r="21" spans="1:10" x14ac:dyDescent="0.3">
      <c r="F21" t="s">
        <v>41</v>
      </c>
      <c r="G21">
        <f>AVERAGE(G2:G20)</f>
        <v>0.38783058524131714</v>
      </c>
      <c r="H21" s="2">
        <f>AVERAGE(H2:H20)</f>
        <v>0.65710042504703259</v>
      </c>
      <c r="I21" s="2">
        <f t="shared" ref="I21:J21" si="1">AVERAGE(I2:I20)</f>
        <v>0.37796026468276922</v>
      </c>
      <c r="J21" s="2">
        <f t="shared" si="1"/>
        <v>0.6336741447448726</v>
      </c>
    </row>
    <row r="22" spans="1:10" x14ac:dyDescent="0.3">
      <c r="B22" t="s">
        <v>27</v>
      </c>
      <c r="C22" t="s">
        <v>28</v>
      </c>
      <c r="D22" t="s">
        <v>29</v>
      </c>
    </row>
    <row r="23" spans="1:10" x14ac:dyDescent="0.3">
      <c r="A23" t="s">
        <v>22</v>
      </c>
      <c r="B23">
        <v>1.0790065228938999</v>
      </c>
      <c r="C23">
        <v>0.45339423418045011</v>
      </c>
      <c r="D23">
        <v>0.58985227346420255</v>
      </c>
      <c r="F23" t="s">
        <v>36</v>
      </c>
      <c r="G23" s="2">
        <v>0.92880773544311501</v>
      </c>
      <c r="H23">
        <v>36.150728464126502</v>
      </c>
    </row>
    <row r="24" spans="1:10" x14ac:dyDescent="0.3">
      <c r="A24" t="s">
        <v>24</v>
      </c>
      <c r="B24">
        <v>1.3979406058788262</v>
      </c>
      <c r="C24">
        <v>0.66021633148193304</v>
      </c>
      <c r="D24" s="2">
        <v>0.84167889753977443</v>
      </c>
    </row>
    <row r="25" spans="1:10" x14ac:dyDescent="0.3">
      <c r="A25" t="s">
        <v>23</v>
      </c>
      <c r="B25">
        <v>1.5859310925006815</v>
      </c>
      <c r="C25">
        <v>0.78711858391761735</v>
      </c>
      <c r="D25">
        <v>1.0599876131330157</v>
      </c>
      <c r="F25" t="s">
        <v>43</v>
      </c>
      <c r="G25" s="2">
        <f>(($A$13-G21)/$A$13)*100</f>
        <v>64.056696876942524</v>
      </c>
      <c r="H25" s="2">
        <f t="shared" ref="H25:J25" si="2">(($A$13-H21)/$A$13)*100</f>
        <v>39.101348221261297</v>
      </c>
      <c r="I25" s="2">
        <f t="shared" si="2"/>
        <v>64.97145692232904</v>
      </c>
      <c r="J25" s="2">
        <f t="shared" si="2"/>
        <v>41.272445411603634</v>
      </c>
    </row>
    <row r="26" spans="1:10" x14ac:dyDescent="0.3">
      <c r="A26" t="s">
        <v>25</v>
      </c>
      <c r="B26">
        <v>2.248090773820874</v>
      </c>
      <c r="C26">
        <v>1.2201090123918279</v>
      </c>
      <c r="D26">
        <v>1.6157757441202749</v>
      </c>
    </row>
    <row r="27" spans="1:10" x14ac:dyDescent="0.3">
      <c r="A27" t="s">
        <v>26</v>
      </c>
      <c r="B27">
        <v>2.7839969396591133</v>
      </c>
      <c r="C27">
        <v>1.5736395418643925</v>
      </c>
      <c r="D27">
        <v>2.1290450096130331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topLeftCell="A11" workbookViewId="0">
      <selection activeCell="E24" sqref="E24"/>
    </sheetView>
  </sheetViews>
  <sheetFormatPr defaultRowHeight="14.4" x14ac:dyDescent="0.3"/>
  <cols>
    <col min="1" max="1" width="8.88671875" style="2"/>
    <col min="2" max="2" width="28.44140625" customWidth="1"/>
    <col min="3" max="3" width="40.33203125" customWidth="1"/>
    <col min="4" max="4" width="32.5546875" customWidth="1"/>
    <col min="5" max="5" width="33.6640625" customWidth="1"/>
    <col min="6" max="6" width="30.5546875" customWidth="1"/>
    <col min="7" max="7" width="26.88671875" customWidth="1"/>
    <col min="8" max="8" width="32.109375" customWidth="1"/>
  </cols>
  <sheetData>
    <row r="1" spans="1:8" x14ac:dyDescent="0.3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3">
      <c r="B2">
        <v>7.3450946807861301</v>
      </c>
      <c r="C2">
        <v>7.16694831848144</v>
      </c>
      <c r="D2" s="2">
        <v>5.3218860626220703</v>
      </c>
      <c r="E2" s="2">
        <v>5.9794406890869096</v>
      </c>
      <c r="F2">
        <v>6.2537295818328804</v>
      </c>
      <c r="G2">
        <v>7.0748317241668701</v>
      </c>
      <c r="H2">
        <v>6.7540736198425204</v>
      </c>
    </row>
    <row r="3" spans="1:8" x14ac:dyDescent="0.3">
      <c r="B3" s="2">
        <v>7.4184143543243399</v>
      </c>
      <c r="C3" s="2">
        <v>7.1313819885253897</v>
      </c>
      <c r="D3" s="2">
        <v>5.1174356937408403</v>
      </c>
      <c r="E3" s="2">
        <v>5.4161722660064697</v>
      </c>
      <c r="F3" s="2">
        <v>6.1172816753387398</v>
      </c>
      <c r="G3" s="2">
        <v>6.8033702373504603</v>
      </c>
      <c r="H3" s="2">
        <v>5.4201812744140598</v>
      </c>
    </row>
    <row r="4" spans="1:8" x14ac:dyDescent="0.3">
      <c r="B4" s="2">
        <v>7.3509802818298304</v>
      </c>
      <c r="C4" s="2">
        <v>7.1756608486175502</v>
      </c>
      <c r="D4" s="2">
        <v>5.0277805328369096</v>
      </c>
      <c r="E4" s="2">
        <v>5.5248024463653502</v>
      </c>
      <c r="F4" s="2">
        <v>6.1096031665802002</v>
      </c>
      <c r="G4" s="2">
        <v>7.0271511077880797</v>
      </c>
      <c r="H4" s="2">
        <v>5.6985061168670601</v>
      </c>
    </row>
    <row r="5" spans="1:8" x14ac:dyDescent="0.3">
      <c r="B5" s="2">
        <v>7.3566079139709402</v>
      </c>
      <c r="C5" s="2">
        <v>7.1427693367004297</v>
      </c>
      <c r="D5" s="2">
        <v>5.14981961250305</v>
      </c>
      <c r="E5" s="2">
        <v>5.3482263088226301</v>
      </c>
      <c r="F5" s="2">
        <v>11.3088417053222</v>
      </c>
      <c r="G5" s="2">
        <v>8.5871407985687203</v>
      </c>
      <c r="H5" s="2">
        <v>5.1269850730895996</v>
      </c>
    </row>
    <row r="6" spans="1:8" x14ac:dyDescent="0.3">
      <c r="B6" s="2">
        <v>7.3789911270141602</v>
      </c>
      <c r="C6" s="2">
        <v>7.1390972137451101</v>
      </c>
      <c r="D6" s="2">
        <v>5.0600218772888104</v>
      </c>
      <c r="E6" s="2">
        <v>5.4082300662994296</v>
      </c>
      <c r="F6" s="2">
        <v>6.12658214569091</v>
      </c>
      <c r="G6" s="2">
        <v>6.8047771453857404</v>
      </c>
      <c r="H6" s="2">
        <v>5.6254932880401602</v>
      </c>
    </row>
    <row r="7" spans="1:8" x14ac:dyDescent="0.3">
      <c r="B7" s="2">
        <v>7.36278843879699</v>
      </c>
      <c r="C7" s="2">
        <v>7.1864013671875</v>
      </c>
      <c r="D7" s="2">
        <v>5.1901776790618896</v>
      </c>
      <c r="E7" s="2">
        <v>5.3831937313079798</v>
      </c>
      <c r="F7" s="2">
        <v>6.1925251483917201</v>
      </c>
      <c r="G7" s="2">
        <v>6.7718298435211102</v>
      </c>
      <c r="H7" s="2">
        <v>5.0814678668975803</v>
      </c>
    </row>
    <row r="8" spans="1:8" x14ac:dyDescent="0.3">
      <c r="B8" s="2">
        <v>7.2614073753356898</v>
      </c>
      <c r="C8" s="2">
        <v>7.1320078372955296</v>
      </c>
      <c r="D8" s="2">
        <v>5.1280057430267298</v>
      </c>
      <c r="E8" s="2">
        <v>5.3957812786102197</v>
      </c>
      <c r="F8" s="2">
        <v>6.1694560050964302</v>
      </c>
      <c r="G8" s="2">
        <v>6.8635389804839999</v>
      </c>
      <c r="H8" s="2">
        <v>5.6796658039093</v>
      </c>
    </row>
    <row r="9" spans="1:8" x14ac:dyDescent="0.3">
      <c r="B9" s="2">
        <v>7.3218536376953098</v>
      </c>
      <c r="C9" s="2">
        <v>7.1580121517181396</v>
      </c>
      <c r="D9" s="2">
        <v>5.0264129638671804</v>
      </c>
      <c r="E9" s="2">
        <v>5.4199559688568097</v>
      </c>
      <c r="F9" s="2">
        <v>6.1326611042022696</v>
      </c>
      <c r="G9" s="2">
        <v>6.8007957935333199</v>
      </c>
      <c r="H9" s="2">
        <v>6.9585936069488499</v>
      </c>
    </row>
    <row r="10" spans="1:8" x14ac:dyDescent="0.3">
      <c r="B10" s="2"/>
      <c r="C10" s="2"/>
      <c r="D10" s="2">
        <v>5.14981961250305</v>
      </c>
      <c r="E10" s="2"/>
      <c r="F10" s="2">
        <v>6.1813831329345703</v>
      </c>
      <c r="G10" s="2">
        <v>6.7517983913421604</v>
      </c>
      <c r="H10" s="2"/>
    </row>
    <row r="11" spans="1:8" s="2" customFormat="1" x14ac:dyDescent="0.3"/>
    <row r="12" spans="1:8" x14ac:dyDescent="0.3">
      <c r="A12" s="2" t="s">
        <v>41</v>
      </c>
      <c r="B12" s="2">
        <f>AVERAGE(B2:B11)</f>
        <v>7.3495172262191737</v>
      </c>
      <c r="C12" s="2">
        <f t="shared" ref="C12:H12" si="0">AVERAGE(C2:C11)</f>
        <v>7.1540348827838862</v>
      </c>
      <c r="D12" s="2">
        <f t="shared" si="0"/>
        <v>5.1301510863833935</v>
      </c>
      <c r="E12" s="2">
        <f t="shared" si="0"/>
        <v>5.4844753444194749</v>
      </c>
      <c r="F12" s="2">
        <f t="shared" si="0"/>
        <v>6.7324515183766582</v>
      </c>
      <c r="G12" s="2">
        <f t="shared" si="0"/>
        <v>7.0539148913489411</v>
      </c>
      <c r="H12" s="2">
        <f t="shared" si="0"/>
        <v>5.7931208312511426</v>
      </c>
    </row>
    <row r="13" spans="1:8" x14ac:dyDescent="0.3">
      <c r="B13" s="2"/>
      <c r="D13" t="s">
        <v>16</v>
      </c>
      <c r="E13" t="s">
        <v>44</v>
      </c>
    </row>
    <row r="15" spans="1:8" x14ac:dyDescent="0.3">
      <c r="D15">
        <v>5.8025791645050004</v>
      </c>
      <c r="E15">
        <v>5.5197479999999999</v>
      </c>
    </row>
    <row r="16" spans="1:8" x14ac:dyDescent="0.3">
      <c r="D16" s="2">
        <v>5.4329864978790203</v>
      </c>
      <c r="E16">
        <v>5.5165179999999996</v>
      </c>
    </row>
    <row r="17" spans="3:5" customFormat="1" x14ac:dyDescent="0.3">
      <c r="D17" s="2">
        <v>5.7354359626770002</v>
      </c>
      <c r="E17">
        <v>5.4559389999999999</v>
      </c>
    </row>
    <row r="18" spans="3:5" customFormat="1" x14ac:dyDescent="0.3">
      <c r="D18" s="2">
        <v>5.4959554672241202</v>
      </c>
      <c r="E18">
        <v>5.5616240000000001</v>
      </c>
    </row>
    <row r="19" spans="3:5" customFormat="1" x14ac:dyDescent="0.3">
      <c r="D19" s="2">
        <v>5.6025443077087402</v>
      </c>
      <c r="E19">
        <v>5.448893</v>
      </c>
    </row>
    <row r="20" spans="3:5" customFormat="1" x14ac:dyDescent="0.3">
      <c r="D20" s="2">
        <v>5.4094555377960196</v>
      </c>
      <c r="E20">
        <v>5.5522109999999998</v>
      </c>
    </row>
    <row r="21" spans="3:5" customFormat="1" x14ac:dyDescent="0.3">
      <c r="D21" s="2">
        <v>5.3968389034271196</v>
      </c>
      <c r="E21">
        <v>5.4811389999999998</v>
      </c>
    </row>
    <row r="22" spans="3:5" customFormat="1" x14ac:dyDescent="0.3">
      <c r="D22" s="2">
        <v>5.5432415008544904</v>
      </c>
      <c r="E22">
        <v>5.6439729999999999</v>
      </c>
    </row>
    <row r="23" spans="3:5" customFormat="1" x14ac:dyDescent="0.3">
      <c r="D23" s="2"/>
      <c r="E23">
        <v>5.6052590000000002</v>
      </c>
    </row>
    <row r="24" spans="3:5" x14ac:dyDescent="0.3">
      <c r="C24" t="s">
        <v>41</v>
      </c>
      <c r="D24">
        <f>AVERAGE(D15:D23)</f>
        <v>5.552379667758939</v>
      </c>
      <c r="E24" s="2">
        <f>AVERAGE(E15:E23)</f>
        <v>5.5317004444444438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cus400</vt:lpstr>
      <vt:lpstr>cus350</vt:lpstr>
      <vt:lpstr>cus300</vt:lpstr>
      <vt:lpstr>cus250</vt:lpstr>
      <vt:lpstr>cus200</vt:lpstr>
      <vt:lpstr>Vgg16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</dc:creator>
  <cp:lastModifiedBy>ASUS</cp:lastModifiedBy>
  <dcterms:created xsi:type="dcterms:W3CDTF">2021-02-04T12:22:15Z</dcterms:created>
  <dcterms:modified xsi:type="dcterms:W3CDTF">2021-02-15T20:27:24Z</dcterms:modified>
</cp:coreProperties>
</file>