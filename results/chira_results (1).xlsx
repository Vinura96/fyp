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SUS\Desktop\FYP\"/>
    </mc:Choice>
  </mc:AlternateContent>
  <bookViews>
    <workbookView xWindow="0" yWindow="0" windowWidth="23040" windowHeight="8604" activeTab="4"/>
  </bookViews>
  <sheets>
    <sheet name="cus400" sheetId="1" r:id="rId1"/>
    <sheet name="cus350" sheetId="2" r:id="rId2"/>
    <sheet name="cus300" sheetId="3" r:id="rId3"/>
    <sheet name="cus250" sheetId="4" r:id="rId4"/>
    <sheet name="cus200" sheetId="5" r:id="rId5"/>
    <sheet name="Vgg16" sheetId="6" r:id="rId6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3" i="5" l="1"/>
  <c r="C13" i="5"/>
  <c r="D13" i="5"/>
  <c r="A13" i="5"/>
  <c r="B13" i="4"/>
  <c r="C13" i="4"/>
  <c r="D13" i="4"/>
  <c r="A13" i="4"/>
  <c r="B11" i="3"/>
  <c r="C11" i="3"/>
  <c r="D11" i="3"/>
  <c r="A11" i="3"/>
  <c r="B12" i="2"/>
  <c r="C12" i="2"/>
  <c r="D12" i="2"/>
  <c r="A12" i="2"/>
  <c r="D10" i="1"/>
  <c r="A10" i="1"/>
  <c r="C10" i="1"/>
  <c r="B10" i="1"/>
</calcChain>
</file>

<file path=xl/sharedStrings.xml><?xml version="1.0" encoding="utf-8"?>
<sst xmlns="http://schemas.openxmlformats.org/spreadsheetml/2006/main" count="41" uniqueCount="30">
  <si>
    <t>device1</t>
  </si>
  <si>
    <t>device2-seq</t>
  </si>
  <si>
    <t>device</t>
  </si>
  <si>
    <t>device-seq</t>
  </si>
  <si>
    <t>device-thread</t>
  </si>
  <si>
    <t>device2-thread</t>
  </si>
  <si>
    <t>device 1</t>
  </si>
  <si>
    <t>device 2 -(up to conolution 5 with dense)</t>
  </si>
  <si>
    <t>device 2 -(up to conolution 4 )</t>
  </si>
  <si>
    <t>device 2 -(up to conolution 3)</t>
  </si>
  <si>
    <t>device 2 -(up to conolution 2)</t>
  </si>
  <si>
    <t>device 2 -(up to conolution 1)</t>
  </si>
  <si>
    <t>device2 -vgg16 thread</t>
  </si>
  <si>
    <t>device-seq wifi</t>
  </si>
  <si>
    <t>device-seq-wifi</t>
  </si>
  <si>
    <t>wifi-device2-seq</t>
  </si>
  <si>
    <t>device 2 -(up to conolution 4 )-wifi</t>
  </si>
  <si>
    <t>Graph 1 - img size vs inference time</t>
  </si>
  <si>
    <t>Lines</t>
  </si>
  <si>
    <t>single device/device 2 seq/wifi device 2</t>
  </si>
  <si>
    <t>Custom ModelDevices</t>
  </si>
  <si>
    <t>Graph 2 device count vs inference time</t>
  </si>
  <si>
    <t>200px</t>
  </si>
  <si>
    <t>300px</t>
  </si>
  <si>
    <t>250px</t>
  </si>
  <si>
    <t>350px</t>
  </si>
  <si>
    <t>400px</t>
  </si>
  <si>
    <t>1 device</t>
  </si>
  <si>
    <t>2 device - Ethernet</t>
  </si>
  <si>
    <t>2 device - Wifi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</si>
</sst>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0" fillId="0" borderId="0" xfId="0"/>
    <xf numFmtId="0" fontId="0" fillId="0" borderId="0" xfId="0" applyAlignment="1">
      <alignment wrapText="1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Inference Time vs Input Size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'cus200'!$B$22</c:f>
              <c:strCache>
                <c:ptCount val="1"/>
                <c:pt idx="0">
                  <c:v>1 device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'cus200'!$A$23:$A$27</c:f>
              <c:strCache>
                <c:ptCount val="5"/>
                <c:pt idx="0">
                  <c:v>200px</c:v>
                </c:pt>
                <c:pt idx="1">
                  <c:v>250px</c:v>
                </c:pt>
                <c:pt idx="2">
                  <c:v>300px</c:v>
                </c:pt>
                <c:pt idx="3">
                  <c:v>350px</c:v>
                </c:pt>
                <c:pt idx="4">
                  <c:v>400px</c:v>
                </c:pt>
              </c:strCache>
            </c:strRef>
          </c:cat>
          <c:val>
            <c:numRef>
              <c:f>'cus200'!$B$23:$B$27</c:f>
              <c:numCache>
                <c:formatCode>General</c:formatCode>
                <c:ptCount val="5"/>
                <c:pt idx="0">
                  <c:v>1.0790065228938999</c:v>
                </c:pt>
                <c:pt idx="1">
                  <c:v>1.3979406058788262</c:v>
                </c:pt>
                <c:pt idx="2">
                  <c:v>1.5859310925006815</c:v>
                </c:pt>
                <c:pt idx="3">
                  <c:v>2.248090773820874</c:v>
                </c:pt>
                <c:pt idx="4">
                  <c:v>2.7839969396591133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AB-480E-8A37-FC65CC08AAD9}"/>
            </c:ext>
          </c:extLst>
        </c:ser>
        <c:ser>
          <c:idx val="1"/>
          <c:order val="1"/>
          <c:tx>
            <c:strRef>
              <c:f>'cus200'!$C$22</c:f>
              <c:strCache>
                <c:ptCount val="1"/>
                <c:pt idx="0">
                  <c:v>2 device - Ethernet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'cus200'!$A$23:$A$27</c:f>
              <c:strCache>
                <c:ptCount val="5"/>
                <c:pt idx="0">
                  <c:v>200px</c:v>
                </c:pt>
                <c:pt idx="1">
                  <c:v>250px</c:v>
                </c:pt>
                <c:pt idx="2">
                  <c:v>300px</c:v>
                </c:pt>
                <c:pt idx="3">
                  <c:v>350px</c:v>
                </c:pt>
                <c:pt idx="4">
                  <c:v>400px</c:v>
                </c:pt>
              </c:strCache>
            </c:strRef>
          </c:cat>
          <c:val>
            <c:numRef>
              <c:f>'cus200'!$C$23:$C$27</c:f>
              <c:numCache>
                <c:formatCode>General</c:formatCode>
                <c:ptCount val="5"/>
                <c:pt idx="0">
                  <c:v>0.45339423418045011</c:v>
                </c:pt>
                <c:pt idx="1">
                  <c:v>0.66021633148193304</c:v>
                </c:pt>
                <c:pt idx="2">
                  <c:v>0.78711858391761735</c:v>
                </c:pt>
                <c:pt idx="3">
                  <c:v>1.2201090123918279</c:v>
                </c:pt>
                <c:pt idx="4">
                  <c:v>1.5736395418643925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BAB-480E-8A37-FC65CC08AAD9}"/>
            </c:ext>
          </c:extLst>
        </c:ser>
        <c:ser>
          <c:idx val="2"/>
          <c:order val="2"/>
          <c:tx>
            <c:strRef>
              <c:f>'cus200'!$D$22</c:f>
              <c:strCache>
                <c:ptCount val="1"/>
                <c:pt idx="0">
                  <c:v>2 device - Wifi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'cus200'!$A$23:$A$27</c:f>
              <c:strCache>
                <c:ptCount val="5"/>
                <c:pt idx="0">
                  <c:v>200px</c:v>
                </c:pt>
                <c:pt idx="1">
                  <c:v>250px</c:v>
                </c:pt>
                <c:pt idx="2">
                  <c:v>300px</c:v>
                </c:pt>
                <c:pt idx="3">
                  <c:v>350px</c:v>
                </c:pt>
                <c:pt idx="4">
                  <c:v>400px</c:v>
                </c:pt>
              </c:strCache>
            </c:strRef>
          </c:cat>
          <c:val>
            <c:numRef>
              <c:f>'cus200'!$D$23:$D$27</c:f>
              <c:numCache>
                <c:formatCode>General</c:formatCode>
                <c:ptCount val="5"/>
                <c:pt idx="0">
                  <c:v>0.58985227346420255</c:v>
                </c:pt>
                <c:pt idx="1">
                  <c:v>0.84167889753977443</c:v>
                </c:pt>
                <c:pt idx="2">
                  <c:v>1.0599876131330157</c:v>
                </c:pt>
                <c:pt idx="3">
                  <c:v>1.6157757441202749</c:v>
                </c:pt>
                <c:pt idx="4">
                  <c:v>2.1290450096130331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BAB-480E-8A37-FC65CC08AAD9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39693328"/>
        <c:axId val="839694160"/>
      </c:barChart>
      <c:catAx>
        <c:axId val="8396933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Input Size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9694160"/>
        <c:crosses val="autoZero"/>
        <c:auto val="1"/>
        <c:lblAlgn val="ctr"/>
        <c:lblOffset val="100"/>
        <c:noMultiLvlLbl val="0"/>
      </c:catAx>
      <c:valAx>
        <c:axId val="839694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Inference Time (s)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96933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891540</xdr:colOff>
      <xdr:row>28</xdr:row>
      <xdr:rowOff>106680</xdr:rowOff>
    </xdr:from>
    <xdr:to>
      <xdr:col>6</xdr:col>
      <xdr:colOff>99060</xdr:colOff>
      <xdr:row>50</xdr:row>
      <xdr:rowOff>129540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"/>
  <sheetViews>
    <sheetView workbookViewId="0">
      <selection activeCell="D10" activeCellId="2" sqref="A10 B10 D10"/>
    </sheetView>
  </sheetViews>
  <sheetFormatPr defaultRowHeight="14.4" x14ac:dyDescent="0.3"/>
  <cols>
    <col min="1" max="1" width="34.88671875" customWidth="1"/>
    <col min="2" max="2" width="37" customWidth="1"/>
    <col min="3" max="6" width="51.5546875" customWidth="1"/>
  </cols>
  <sheetData>
    <row r="1" spans="1:4" x14ac:dyDescent="0.3">
      <c r="A1" t="s">
        <v>0</v>
      </c>
      <c r="B1" t="s">
        <v>1</v>
      </c>
      <c r="C1" t="s">
        <v>5</v>
      </c>
      <c r="D1" t="s">
        <v>15</v>
      </c>
    </row>
    <row r="2" spans="1:4" x14ac:dyDescent="0.3">
      <c r="A2">
        <v>2.7263042926788299</v>
      </c>
      <c r="B2">
        <v>1.6656861305236801</v>
      </c>
      <c r="C2">
        <v>1.7582023143768299</v>
      </c>
      <c r="D2">
        <v>2.1039559841156001</v>
      </c>
    </row>
    <row r="3" spans="1:4" x14ac:dyDescent="0.3">
      <c r="A3">
        <v>3.1999204158782901</v>
      </c>
      <c r="B3">
        <v>1.54640269279479</v>
      </c>
      <c r="C3">
        <v>1.6034290790557799</v>
      </c>
      <c r="D3" s="2">
        <v>2.25373363494873</v>
      </c>
    </row>
    <row r="4" spans="1:4" x14ac:dyDescent="0.3">
      <c r="A4">
        <v>2.7496778964996298</v>
      </c>
      <c r="B4">
        <v>1.5865051746368399</v>
      </c>
      <c r="C4">
        <v>1.4601624011993399</v>
      </c>
      <c r="D4" s="2">
        <v>2.22912502288818</v>
      </c>
    </row>
    <row r="5" spans="1:4" x14ac:dyDescent="0.3">
      <c r="A5">
        <v>2.7028291225433301</v>
      </c>
      <c r="B5">
        <v>1.54638671875</v>
      </c>
      <c r="C5">
        <v>1.6184346675872801</v>
      </c>
      <c r="D5" s="2">
        <v>2.1036705970764098</v>
      </c>
    </row>
    <row r="6" spans="1:4" x14ac:dyDescent="0.3">
      <c r="A6">
        <v>2.7141692638397199</v>
      </c>
      <c r="B6">
        <v>1.5619983673095701</v>
      </c>
      <c r="C6">
        <v>1.50051498413085</v>
      </c>
      <c r="D6" s="2">
        <v>2.0756731033325102</v>
      </c>
    </row>
    <row r="7" spans="1:4" x14ac:dyDescent="0.3">
      <c r="A7">
        <v>2.7324738502502401</v>
      </c>
      <c r="B7">
        <v>1.58729243278503</v>
      </c>
      <c r="C7">
        <v>1.65201044082641</v>
      </c>
      <c r="D7" s="2">
        <v>2.0483937263488698</v>
      </c>
    </row>
    <row r="8" spans="1:4" x14ac:dyDescent="0.3">
      <c r="A8">
        <v>2.7089660167693999</v>
      </c>
      <c r="B8">
        <v>1.5536570549011199</v>
      </c>
      <c r="C8">
        <v>1.4630379676818801</v>
      </c>
      <c r="D8" s="2">
        <v>2.08876299858093</v>
      </c>
    </row>
    <row r="9" spans="1:4" x14ac:dyDescent="0.3">
      <c r="A9">
        <v>2.7376346588134699</v>
      </c>
      <c r="B9">
        <v>1.54118776321411</v>
      </c>
      <c r="C9">
        <v>1.6257963180541899</v>
      </c>
    </row>
    <row r="10" spans="1:4" x14ac:dyDescent="0.3">
      <c r="A10" s="4">
        <f>AVERAGE(A2:A9)</f>
        <v>2.7839969396591133</v>
      </c>
      <c r="B10" s="4">
        <f>AVERAGE(B2:B9)</f>
        <v>1.5736395418643925</v>
      </c>
      <c r="C10" s="4">
        <f>AVERAGE(C2:C9)</f>
        <v>1.58519852161407</v>
      </c>
      <c r="D10" s="4">
        <f>AVERAGE(D2:D9)</f>
        <v>2.1290450096130331</v>
      </c>
    </row>
    <row r="12" spans="1:4" x14ac:dyDescent="0.3">
      <c r="A12" t="s">
        <v>20</v>
      </c>
    </row>
    <row r="13" spans="1:4" x14ac:dyDescent="0.3">
      <c r="B13" t="s">
        <v>18</v>
      </c>
    </row>
    <row r="14" spans="1:4" x14ac:dyDescent="0.3">
      <c r="A14" t="s">
        <v>17</v>
      </c>
      <c r="B14" t="s">
        <v>19</v>
      </c>
    </row>
    <row r="15" spans="1:4" x14ac:dyDescent="0.3">
      <c r="A15" t="s">
        <v>21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workbookViewId="0">
      <selection activeCell="D12" activeCellId="2" sqref="A12 B12 D12"/>
    </sheetView>
  </sheetViews>
  <sheetFormatPr defaultRowHeight="14.4" x14ac:dyDescent="0.3"/>
  <cols>
    <col min="1" max="1" width="19.33203125" customWidth="1"/>
    <col min="2" max="2" width="19.44140625" customWidth="1"/>
    <col min="3" max="3" width="33.109375" customWidth="1"/>
    <col min="4" max="4" width="37.5546875" customWidth="1"/>
  </cols>
  <sheetData>
    <row r="1" spans="1:4" x14ac:dyDescent="0.3">
      <c r="A1" t="s">
        <v>2</v>
      </c>
      <c r="B1" t="s">
        <v>3</v>
      </c>
      <c r="C1" t="s">
        <v>4</v>
      </c>
      <c r="D1" t="s">
        <v>14</v>
      </c>
    </row>
    <row r="2" spans="1:4" x14ac:dyDescent="0.3">
      <c r="A2" s="1">
        <v>2.2130436897277801</v>
      </c>
      <c r="B2">
        <v>1.32227134704589</v>
      </c>
      <c r="C2">
        <v>1.21235370635986</v>
      </c>
      <c r="D2">
        <v>1.5986359119415201</v>
      </c>
    </row>
    <row r="3" spans="1:4" x14ac:dyDescent="0.3">
      <c r="A3">
        <v>2.6781747341156001</v>
      </c>
      <c r="B3">
        <v>1.20089530944824</v>
      </c>
      <c r="C3" s="2">
        <v>1.25619840621948</v>
      </c>
      <c r="D3" s="2">
        <v>1.6469740867614699</v>
      </c>
    </row>
    <row r="4" spans="1:4" x14ac:dyDescent="0.3">
      <c r="A4">
        <v>2.1743967533111501</v>
      </c>
      <c r="B4">
        <v>1.2058174610137899</v>
      </c>
      <c r="C4" s="2">
        <v>1.27026295661926</v>
      </c>
      <c r="D4" s="2">
        <v>1.6401829719543399</v>
      </c>
    </row>
    <row r="5" spans="1:4" x14ac:dyDescent="0.3">
      <c r="A5">
        <v>2.17181301116943</v>
      </c>
      <c r="B5">
        <v>1.1955218315124501</v>
      </c>
      <c r="C5" s="2">
        <v>1.1222176551818801</v>
      </c>
      <c r="D5" s="2">
        <v>1.6030478477478001</v>
      </c>
    </row>
    <row r="6" spans="1:4" x14ac:dyDescent="0.3">
      <c r="A6">
        <v>2.17968702316284</v>
      </c>
      <c r="B6">
        <v>1.187096118927</v>
      </c>
      <c r="C6" s="2">
        <v>1.25014376640319</v>
      </c>
      <c r="D6" s="2">
        <v>1.6087722778320299</v>
      </c>
    </row>
    <row r="7" spans="1:4" x14ac:dyDescent="0.3">
      <c r="A7">
        <v>2.2155396938323899</v>
      </c>
      <c r="B7">
        <v>1.21767282485961</v>
      </c>
      <c r="C7" s="2">
        <v>1.22424411773681</v>
      </c>
      <c r="D7" s="2">
        <v>1.59704136848449</v>
      </c>
    </row>
    <row r="8" spans="1:4" x14ac:dyDescent="0.3">
      <c r="A8">
        <v>2.1584312915802002</v>
      </c>
      <c r="B8">
        <v>1.2241578102111801</v>
      </c>
      <c r="C8" s="2">
        <v>1.12961626052856</v>
      </c>
      <c r="D8" s="2"/>
    </row>
    <row r="9" spans="1:4" x14ac:dyDescent="0.3">
      <c r="A9">
        <v>2.1936399936675999</v>
      </c>
      <c r="B9">
        <v>1.21087765693664</v>
      </c>
      <c r="C9" s="2">
        <v>1.24871349334716</v>
      </c>
      <c r="D9" s="2"/>
    </row>
    <row r="10" spans="1:4" x14ac:dyDescent="0.3">
      <c r="B10">
        <v>1.2166707515716499</v>
      </c>
    </row>
    <row r="12" spans="1:4" x14ac:dyDescent="0.3">
      <c r="A12">
        <f>AVERAGE(A2:A11)</f>
        <v>2.248090773820874</v>
      </c>
      <c r="B12" s="2">
        <f t="shared" ref="B12:D12" si="0">AVERAGE(B2:B11)</f>
        <v>1.2201090123918279</v>
      </c>
      <c r="C12" s="2">
        <f t="shared" si="0"/>
        <v>1.2142187952995251</v>
      </c>
      <c r="D12" s="2">
        <f t="shared" si="0"/>
        <v>1.6157757441202749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workbookViewId="0">
      <selection activeCell="D11" activeCellId="2" sqref="A11 B11 D11"/>
    </sheetView>
  </sheetViews>
  <sheetFormatPr defaultRowHeight="14.4" x14ac:dyDescent="0.3"/>
  <cols>
    <col min="1" max="1" width="22.88671875" customWidth="1"/>
    <col min="2" max="2" width="29.44140625" customWidth="1"/>
    <col min="3" max="3" width="33.33203125" customWidth="1"/>
    <col min="4" max="4" width="34.88671875" customWidth="1"/>
  </cols>
  <sheetData>
    <row r="1" spans="1:4" x14ac:dyDescent="0.3">
      <c r="A1" t="s">
        <v>2</v>
      </c>
      <c r="B1" t="s">
        <v>3</v>
      </c>
      <c r="C1" t="s">
        <v>4</v>
      </c>
      <c r="D1" t="s">
        <v>14</v>
      </c>
    </row>
    <row r="2" spans="1:4" x14ac:dyDescent="0.3">
      <c r="A2">
        <v>1.51033282279968</v>
      </c>
      <c r="B2" s="2">
        <v>0.89816117286682096</v>
      </c>
      <c r="C2">
        <v>0.99696874618530196</v>
      </c>
      <c r="D2">
        <v>1.0456306934356601</v>
      </c>
    </row>
    <row r="3" spans="1:4" x14ac:dyDescent="0.3">
      <c r="A3">
        <v>1.9808943271636901</v>
      </c>
      <c r="B3">
        <v>0.76348900794982899</v>
      </c>
      <c r="C3" s="2">
        <v>0.89423823356628396</v>
      </c>
      <c r="D3" s="2">
        <v>1.07280278205871</v>
      </c>
    </row>
    <row r="4" spans="1:4" x14ac:dyDescent="0.3">
      <c r="A4">
        <v>1.5159230232238701</v>
      </c>
      <c r="B4">
        <v>0.77510046958923295</v>
      </c>
      <c r="C4" s="2">
        <v>0.84701561927795399</v>
      </c>
      <c r="D4" s="2">
        <v>1.0411250591278001</v>
      </c>
    </row>
    <row r="5" spans="1:4" x14ac:dyDescent="0.3">
      <c r="A5">
        <v>1.5389554500579801</v>
      </c>
      <c r="B5">
        <v>0.76630973815917902</v>
      </c>
      <c r="C5" s="2">
        <v>0.89056468009948697</v>
      </c>
      <c r="D5" s="2"/>
    </row>
    <row r="6" spans="1:4" x14ac:dyDescent="0.3">
      <c r="A6">
        <v>1.5163257122039699</v>
      </c>
      <c r="B6">
        <v>0.79194140434265103</v>
      </c>
      <c r="C6" s="2">
        <v>0.70315170288085904</v>
      </c>
      <c r="D6" s="2">
        <v>1.05423164367675</v>
      </c>
    </row>
    <row r="7" spans="1:4" x14ac:dyDescent="0.3">
      <c r="A7">
        <v>1.5848572254180899</v>
      </c>
      <c r="B7">
        <v>0.76927757263183505</v>
      </c>
      <c r="C7" s="2">
        <v>0.93132376670837402</v>
      </c>
      <c r="D7" s="2">
        <v>1.0824501514434799</v>
      </c>
    </row>
    <row r="8" spans="1:4" x14ac:dyDescent="0.3">
      <c r="A8">
        <v>1.51847839355468</v>
      </c>
      <c r="B8">
        <v>0.76259231567382801</v>
      </c>
      <c r="C8" s="2">
        <v>0.83017754554748502</v>
      </c>
      <c r="D8" s="2">
        <v>1.07312130928039</v>
      </c>
    </row>
    <row r="9" spans="1:4" x14ac:dyDescent="0.3">
      <c r="A9">
        <v>1.5216817855834901</v>
      </c>
      <c r="B9">
        <v>0.77007699012756303</v>
      </c>
      <c r="C9" s="2">
        <v>0.82789039611816395</v>
      </c>
      <c r="D9" s="2">
        <v>1.0505516529083201</v>
      </c>
    </row>
    <row r="11" spans="1:4" x14ac:dyDescent="0.3">
      <c r="A11">
        <f>AVERAGE(A2:A10)</f>
        <v>1.5859310925006815</v>
      </c>
      <c r="B11" s="2">
        <f t="shared" ref="B11:D11" si="0">AVERAGE(B2:B10)</f>
        <v>0.78711858391761735</v>
      </c>
      <c r="C11" s="2">
        <f t="shared" si="0"/>
        <v>0.86516633629798867</v>
      </c>
      <c r="D11" s="2">
        <f t="shared" si="0"/>
        <v>1.0599876131330157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workbookViewId="0">
      <selection activeCell="A13" sqref="A13:D13"/>
    </sheetView>
  </sheetViews>
  <sheetFormatPr defaultRowHeight="14.4" x14ac:dyDescent="0.3"/>
  <cols>
    <col min="1" max="1" width="15.33203125" customWidth="1"/>
    <col min="2" max="2" width="16.88671875" customWidth="1"/>
    <col min="3" max="3" width="26.6640625" customWidth="1"/>
    <col min="4" max="4" width="31.109375" customWidth="1"/>
  </cols>
  <sheetData>
    <row r="1" spans="1:4" x14ac:dyDescent="0.3">
      <c r="A1" t="s">
        <v>2</v>
      </c>
      <c r="B1" t="s">
        <v>3</v>
      </c>
      <c r="C1" t="s">
        <v>4</v>
      </c>
      <c r="D1" t="s">
        <v>13</v>
      </c>
    </row>
    <row r="4" spans="1:4" x14ac:dyDescent="0.3">
      <c r="A4">
        <v>1.3392517566680899</v>
      </c>
      <c r="B4">
        <v>0.76217746734619096</v>
      </c>
      <c r="C4">
        <v>0.67859339714050204</v>
      </c>
      <c r="D4">
        <v>0.84469127655029297</v>
      </c>
    </row>
    <row r="5" spans="1:4" x14ac:dyDescent="0.3">
      <c r="A5">
        <v>1.7999744415283201</v>
      </c>
      <c r="B5">
        <v>0.64278388023376398</v>
      </c>
      <c r="C5" s="2">
        <v>0.69146227836608798</v>
      </c>
      <c r="D5">
        <v>0.85600519180297796</v>
      </c>
    </row>
    <row r="6" spans="1:4" x14ac:dyDescent="0.3">
      <c r="A6">
        <v>1.33094429969787</v>
      </c>
      <c r="B6">
        <v>0.64899349212646396</v>
      </c>
      <c r="C6" s="2">
        <v>0.69754338264465299</v>
      </c>
      <c r="D6">
        <v>0.82149028778076105</v>
      </c>
    </row>
    <row r="7" spans="1:4" x14ac:dyDescent="0.3">
      <c r="A7">
        <v>1.3390696048736499</v>
      </c>
      <c r="B7">
        <v>0.63432884216308505</v>
      </c>
      <c r="C7" s="2">
        <v>0.60643529891967696</v>
      </c>
      <c r="D7">
        <v>0.83768463134765603</v>
      </c>
    </row>
    <row r="8" spans="1:4" x14ac:dyDescent="0.3">
      <c r="A8">
        <v>1.3346526622772199</v>
      </c>
      <c r="B8">
        <v>0.65192794799804599</v>
      </c>
      <c r="C8" s="2">
        <v>0.69358587265014604</v>
      </c>
      <c r="D8">
        <v>0.84925246238708496</v>
      </c>
    </row>
    <row r="9" spans="1:4" x14ac:dyDescent="0.3">
      <c r="A9">
        <v>1.36448526382446</v>
      </c>
      <c r="B9">
        <v>0.65107393264770497</v>
      </c>
      <c r="C9" s="2">
        <v>0.72269201278686501</v>
      </c>
      <c r="D9">
        <v>0.84094953536987305</v>
      </c>
    </row>
    <row r="10" spans="1:4" x14ac:dyDescent="0.3">
      <c r="A10">
        <v>1.3413212299346899</v>
      </c>
      <c r="B10">
        <v>0.64876794815063399</v>
      </c>
      <c r="C10" s="2">
        <v>0.69642901420593195</v>
      </c>
    </row>
    <row r="11" spans="1:4" x14ac:dyDescent="0.3">
      <c r="A11">
        <v>1.3338255882263099</v>
      </c>
      <c r="B11">
        <v>0.64167714118957497</v>
      </c>
      <c r="C11" s="2">
        <v>0.67180466651916504</v>
      </c>
    </row>
    <row r="13" spans="1:4" x14ac:dyDescent="0.3">
      <c r="A13">
        <f>AVERAGE(A4:A12)</f>
        <v>1.3979406058788262</v>
      </c>
      <c r="B13" s="2">
        <f t="shared" ref="B13:D13" si="0">AVERAGE(B4:B12)</f>
        <v>0.66021633148193304</v>
      </c>
      <c r="C13" s="2">
        <f t="shared" si="0"/>
        <v>0.68231824040412847</v>
      </c>
      <c r="D13" s="2">
        <f t="shared" si="0"/>
        <v>0.84167889753977443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7"/>
  <sheetViews>
    <sheetView tabSelected="1" topLeftCell="A24" workbookViewId="0">
      <selection activeCell="G44" sqref="G44"/>
    </sheetView>
  </sheetViews>
  <sheetFormatPr defaultRowHeight="14.4" x14ac:dyDescent="0.3"/>
  <cols>
    <col min="1" max="1" width="38.109375" customWidth="1"/>
    <col min="2" max="2" width="21.5546875" customWidth="1"/>
    <col min="3" max="3" width="21.6640625" customWidth="1"/>
    <col min="4" max="4" width="31.6640625" customWidth="1"/>
  </cols>
  <sheetData>
    <row r="1" spans="1:4" x14ac:dyDescent="0.3">
      <c r="A1" t="s">
        <v>2</v>
      </c>
      <c r="B1" t="s">
        <v>3</v>
      </c>
      <c r="C1" t="s">
        <v>4</v>
      </c>
      <c r="D1" t="s">
        <v>13</v>
      </c>
    </row>
    <row r="4" spans="1:4" x14ac:dyDescent="0.3">
      <c r="A4">
        <v>1.00560545921325</v>
      </c>
      <c r="B4" s="1">
        <v>0.57292366027831998</v>
      </c>
      <c r="D4">
        <v>0.59384179115295399</v>
      </c>
    </row>
    <row r="5" spans="1:4" x14ac:dyDescent="0.3">
      <c r="A5">
        <v>1.47121357917785</v>
      </c>
      <c r="B5" s="3">
        <v>0.44406867027282698</v>
      </c>
      <c r="C5">
        <v>0.47785329818725503</v>
      </c>
      <c r="D5">
        <v>0.58652949333190896</v>
      </c>
    </row>
    <row r="6" spans="1:4" x14ac:dyDescent="0.3">
      <c r="A6">
        <v>1.0117042064666699</v>
      </c>
      <c r="B6" s="3">
        <v>0.43982028961181602</v>
      </c>
      <c r="C6">
        <v>0.41253161430358798</v>
      </c>
      <c r="D6">
        <v>0.59233093261718694</v>
      </c>
    </row>
    <row r="7" spans="1:4" x14ac:dyDescent="0.3">
      <c r="A7">
        <v>1.00535368919372</v>
      </c>
      <c r="B7" s="3">
        <v>0.42922711372375399</v>
      </c>
      <c r="C7">
        <v>4.0890727043151802</v>
      </c>
      <c r="D7">
        <v>0.57377552986144997</v>
      </c>
    </row>
    <row r="8" spans="1:4" x14ac:dyDescent="0.3">
      <c r="A8">
        <v>1.01170873641967</v>
      </c>
      <c r="B8" s="3">
        <v>0.43332624435424799</v>
      </c>
      <c r="C8">
        <v>0.40732622146606401</v>
      </c>
      <c r="D8">
        <v>0.58680939674377397</v>
      </c>
    </row>
    <row r="9" spans="1:4" x14ac:dyDescent="0.3">
      <c r="A9">
        <v>1.05838823318481</v>
      </c>
      <c r="B9" s="3">
        <v>0.43836474418640098</v>
      </c>
      <c r="C9">
        <v>0.47801923751830999</v>
      </c>
      <c r="D9">
        <v>0.58223605155944802</v>
      </c>
    </row>
    <row r="10" spans="1:4" x14ac:dyDescent="0.3">
      <c r="A10">
        <v>1.00822329521179</v>
      </c>
      <c r="B10" s="3">
        <v>0.44320440292358398</v>
      </c>
      <c r="C10">
        <v>0.46024084091186501</v>
      </c>
      <c r="D10">
        <v>0.60436892509460405</v>
      </c>
    </row>
    <row r="11" spans="1:4" x14ac:dyDescent="0.3">
      <c r="A11">
        <v>1.0598549842834399</v>
      </c>
      <c r="B11" s="3">
        <v>0.42621874809265098</v>
      </c>
      <c r="C11">
        <v>0.471531152725219</v>
      </c>
      <c r="D11">
        <v>0.59892606735229403</v>
      </c>
    </row>
    <row r="13" spans="1:4" x14ac:dyDescent="0.3">
      <c r="A13">
        <f>AVERAGE(A4:A12)</f>
        <v>1.0790065228938999</v>
      </c>
      <c r="B13" s="2">
        <f t="shared" ref="B13:D13" si="0">AVERAGE(B4:B12)</f>
        <v>0.45339423418045011</v>
      </c>
      <c r="C13" s="2">
        <f t="shared" si="0"/>
        <v>0.97093929563249737</v>
      </c>
      <c r="D13" s="2">
        <f t="shared" si="0"/>
        <v>0.58985227346420255</v>
      </c>
    </row>
    <row r="22" spans="1:4" x14ac:dyDescent="0.3">
      <c r="B22" t="s">
        <v>27</v>
      </c>
      <c r="C22" t="s">
        <v>28</v>
      </c>
      <c r="D22" t="s">
        <v>29</v>
      </c>
    </row>
    <row r="23" spans="1:4" x14ac:dyDescent="0.3">
      <c r="A23" t="s">
        <v>22</v>
      </c>
      <c r="B23">
        <v>1.0790065228938999</v>
      </c>
      <c r="C23">
        <v>0.45339423418045011</v>
      </c>
      <c r="D23">
        <v>0.58985227346420255</v>
      </c>
    </row>
    <row r="24" spans="1:4" x14ac:dyDescent="0.3">
      <c r="A24" t="s">
        <v>24</v>
      </c>
      <c r="B24">
        <v>1.3979406058788262</v>
      </c>
      <c r="C24">
        <v>0.66021633148193304</v>
      </c>
      <c r="D24" s="2">
        <v>0.84167889753977443</v>
      </c>
    </row>
    <row r="25" spans="1:4" x14ac:dyDescent="0.3">
      <c r="A25" t="s">
        <v>23</v>
      </c>
      <c r="B25">
        <v>1.5859310925006815</v>
      </c>
      <c r="C25">
        <v>0.78711858391761735</v>
      </c>
      <c r="D25">
        <v>1.0599876131330157</v>
      </c>
    </row>
    <row r="26" spans="1:4" x14ac:dyDescent="0.3">
      <c r="A26" t="s">
        <v>25</v>
      </c>
      <c r="B26">
        <v>2.248090773820874</v>
      </c>
      <c r="C26">
        <v>1.2201090123918279</v>
      </c>
      <c r="D26">
        <v>1.6157757441202749</v>
      </c>
    </row>
    <row r="27" spans="1:4" x14ac:dyDescent="0.3">
      <c r="A27" t="s">
        <v>26</v>
      </c>
      <c r="B27">
        <v>2.7839969396591133</v>
      </c>
      <c r="C27">
        <v>1.5736395418643925</v>
      </c>
      <c r="D27">
        <v>2.1290450096130331</v>
      </c>
    </row>
  </sheetData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2"/>
  <sheetViews>
    <sheetView topLeftCell="B1" workbookViewId="0">
      <selection activeCell="D18" sqref="D18"/>
    </sheetView>
  </sheetViews>
  <sheetFormatPr defaultRowHeight="14.4" x14ac:dyDescent="0.3"/>
  <cols>
    <col min="1" max="1" width="28.44140625" customWidth="1"/>
    <col min="2" max="2" width="40.33203125" customWidth="1"/>
    <col min="3" max="3" width="32.5546875" customWidth="1"/>
    <col min="4" max="4" width="33.6640625" customWidth="1"/>
    <col min="5" max="5" width="30.5546875" customWidth="1"/>
    <col min="6" max="6" width="26.88671875" customWidth="1"/>
    <col min="7" max="7" width="32.109375" customWidth="1"/>
  </cols>
  <sheetData>
    <row r="1" spans="1:7" x14ac:dyDescent="0.3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</row>
    <row r="2" spans="1:7" x14ac:dyDescent="0.3">
      <c r="A2">
        <v>7.3450946807861301</v>
      </c>
      <c r="B2">
        <v>7.16694831848144</v>
      </c>
      <c r="C2" s="2">
        <v>5.3218860626220703</v>
      </c>
      <c r="D2" s="2">
        <v>5.9794406890869096</v>
      </c>
      <c r="E2">
        <v>6.2537295818328804</v>
      </c>
      <c r="F2">
        <v>7.0748317241668701</v>
      </c>
      <c r="G2">
        <v>6.7540736198425204</v>
      </c>
    </row>
    <row r="3" spans="1:7" x14ac:dyDescent="0.3">
      <c r="A3" s="2">
        <v>7.4184143543243399</v>
      </c>
      <c r="B3" s="2">
        <v>7.1313819885253897</v>
      </c>
      <c r="C3" s="2">
        <v>5.1174356937408403</v>
      </c>
      <c r="D3" s="2">
        <v>5.4161722660064697</v>
      </c>
      <c r="E3" s="2">
        <v>6.1172816753387398</v>
      </c>
      <c r="F3" s="2">
        <v>6.8033702373504603</v>
      </c>
      <c r="G3" s="2">
        <v>5.4201812744140598</v>
      </c>
    </row>
    <row r="4" spans="1:7" x14ac:dyDescent="0.3">
      <c r="A4" s="2">
        <v>7.3509802818298304</v>
      </c>
      <c r="B4" s="2">
        <v>7.1756608486175502</v>
      </c>
      <c r="C4" s="2">
        <v>5.0277805328369096</v>
      </c>
      <c r="D4" s="2">
        <v>5.5248024463653502</v>
      </c>
      <c r="E4" s="2">
        <v>6.1096031665802002</v>
      </c>
      <c r="F4" s="2">
        <v>7.0271511077880797</v>
      </c>
      <c r="G4" s="2">
        <v>5.6985061168670601</v>
      </c>
    </row>
    <row r="5" spans="1:7" x14ac:dyDescent="0.3">
      <c r="A5" s="2">
        <v>7.3566079139709402</v>
      </c>
      <c r="B5" s="2">
        <v>7.1427693367004297</v>
      </c>
      <c r="C5" s="2">
        <v>5.14981961250305</v>
      </c>
      <c r="D5" s="2">
        <v>5.3482263088226301</v>
      </c>
      <c r="E5" s="2">
        <v>11.3088417053222</v>
      </c>
      <c r="F5" s="2">
        <v>8.5871407985687203</v>
      </c>
      <c r="G5" s="2">
        <v>5.1269850730895996</v>
      </c>
    </row>
    <row r="6" spans="1:7" x14ac:dyDescent="0.3">
      <c r="A6" s="2">
        <v>7.3789911270141602</v>
      </c>
      <c r="B6" s="2">
        <v>7.1390972137451101</v>
      </c>
      <c r="C6" s="2">
        <v>5.0600218772888104</v>
      </c>
      <c r="D6" s="2">
        <v>5.4082300662994296</v>
      </c>
      <c r="E6" s="2">
        <v>6.12658214569091</v>
      </c>
      <c r="F6" s="2">
        <v>6.8047771453857404</v>
      </c>
      <c r="G6" s="2">
        <v>5.6254932880401602</v>
      </c>
    </row>
    <row r="7" spans="1:7" x14ac:dyDescent="0.3">
      <c r="A7" s="2">
        <v>7.36278843879699</v>
      </c>
      <c r="B7" s="2">
        <v>7.1864013671875</v>
      </c>
      <c r="C7" s="2">
        <v>5.1901776790618896</v>
      </c>
      <c r="D7" s="2">
        <v>5.3831937313079798</v>
      </c>
      <c r="E7" s="2">
        <v>6.1925251483917201</v>
      </c>
      <c r="F7" s="2">
        <v>6.7718298435211102</v>
      </c>
      <c r="G7" s="2">
        <v>5.0814678668975803</v>
      </c>
    </row>
    <row r="8" spans="1:7" x14ac:dyDescent="0.3">
      <c r="A8" s="2">
        <v>7.2614073753356898</v>
      </c>
      <c r="B8" s="2">
        <v>7.1320078372955296</v>
      </c>
      <c r="C8" s="2">
        <v>5.1280057430267298</v>
      </c>
      <c r="D8" s="2">
        <v>5.3957812786102197</v>
      </c>
      <c r="E8" s="2">
        <v>6.1694560050964302</v>
      </c>
      <c r="F8" s="2">
        <v>6.8635389804839999</v>
      </c>
      <c r="G8" s="2">
        <v>5.6796658039093</v>
      </c>
    </row>
    <row r="9" spans="1:7" x14ac:dyDescent="0.3">
      <c r="A9" s="2">
        <v>7.3218536376953098</v>
      </c>
      <c r="B9" s="2">
        <v>7.1580121517181396</v>
      </c>
      <c r="C9" s="2">
        <v>5.0264129638671804</v>
      </c>
      <c r="D9" s="2">
        <v>5.4199559688568097</v>
      </c>
      <c r="E9" s="2">
        <v>6.1326611042022696</v>
      </c>
      <c r="F9" s="2">
        <v>6.8007957935333199</v>
      </c>
      <c r="G9" s="2">
        <v>6.9585936069488499</v>
      </c>
    </row>
    <row r="10" spans="1:7" x14ac:dyDescent="0.3">
      <c r="A10" s="2"/>
      <c r="B10" s="2"/>
      <c r="C10" s="2">
        <v>5.14981961250305</v>
      </c>
      <c r="D10" s="2"/>
      <c r="E10" s="2">
        <v>6.1813831329345703</v>
      </c>
      <c r="F10" s="2">
        <v>6.7517983913421604</v>
      </c>
      <c r="G10" s="2"/>
    </row>
    <row r="11" spans="1:7" x14ac:dyDescent="0.3">
      <c r="A11" s="2"/>
    </row>
    <row r="12" spans="1:7" x14ac:dyDescent="0.3">
      <c r="A12" s="2"/>
      <c r="C12" t="s">
        <v>16</v>
      </c>
    </row>
    <row r="14" spans="1:7" x14ac:dyDescent="0.3">
      <c r="C14">
        <v>5.8025791645050004</v>
      </c>
    </row>
    <row r="15" spans="1:7" x14ac:dyDescent="0.3">
      <c r="C15" s="2">
        <v>5.4329864978790203</v>
      </c>
    </row>
    <row r="16" spans="1:7" x14ac:dyDescent="0.3">
      <c r="C16" s="2">
        <v>5.7354359626770002</v>
      </c>
    </row>
    <row r="17" spans="3:3" x14ac:dyDescent="0.3">
      <c r="C17" s="2">
        <v>5.4959554672241202</v>
      </c>
    </row>
    <row r="18" spans="3:3" x14ac:dyDescent="0.3">
      <c r="C18" s="2">
        <v>5.6025443077087402</v>
      </c>
    </row>
    <row r="19" spans="3:3" x14ac:dyDescent="0.3">
      <c r="C19" s="2">
        <v>5.4094555377960196</v>
      </c>
    </row>
    <row r="20" spans="3:3" x14ac:dyDescent="0.3">
      <c r="C20" s="2">
        <v>5.3968389034271196</v>
      </c>
    </row>
    <row r="21" spans="3:3" x14ac:dyDescent="0.3">
      <c r="C21" s="2">
        <v>5.5432415008544904</v>
      </c>
    </row>
    <row r="22" spans="3:3" x14ac:dyDescent="0.3">
      <c r="C2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cus400</vt:lpstr>
      <vt:lpstr>cus350</vt:lpstr>
      <vt:lpstr>cus300</vt:lpstr>
      <vt:lpstr>cus250</vt:lpstr>
      <vt:lpstr>cus200</vt:lpstr>
      <vt:lpstr>Vgg16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chira</dc:creator>
  <cp:lastModifiedBy>ASUS</cp:lastModifiedBy>
  <dcterms:created xsi:type="dcterms:W3CDTF">2021-02-04T12:22:15Z</dcterms:created>
  <dcterms:modified xsi:type="dcterms:W3CDTF">2021-02-07T10:51:25Z</dcterms:modified>
</cp:coreProperties>
</file>